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S1" sheetId="2" r:id="rId5"/>
    <sheet state="visible" name="S2" sheetId="3" r:id="rId6"/>
    <sheet state="visible" name="S3" sheetId="4" r:id="rId7"/>
    <sheet state="visible" name="S4" sheetId="5" r:id="rId8"/>
    <sheet state="visible" name="S5" sheetId="6" r:id="rId9"/>
    <sheet state="visible" name="S6" sheetId="7" r:id="rId10"/>
    <sheet state="visible" name="S7" sheetId="8" r:id="rId11"/>
    <sheet state="visible" name="S8" sheetId="9" r:id="rId12"/>
    <sheet state="visible" name="S9" sheetId="10" r:id="rId13"/>
    <sheet state="visible" name="S10" sheetId="11" r:id="rId14"/>
    <sheet state="visible" name="S11" sheetId="12" r:id="rId15"/>
    <sheet state="visible" name="S12" sheetId="13" r:id="rId16"/>
    <sheet state="visible" name="S13" sheetId="14" r:id="rId17"/>
    <sheet state="visible" name="S14" sheetId="15" r:id="rId18"/>
    <sheet state="visible" name="S15" sheetId="16" r:id="rId19"/>
    <sheet state="visible" name="Base del Diseño Curricular" sheetId="17" r:id="rId20"/>
  </sheets>
  <definedNames/>
  <calcPr/>
  <extLst>
    <ext uri="GoogleSheetsCustomDataVersion2">
      <go:sheetsCustomData xmlns:go="http://customooxmlschemas.google.com/" r:id="rId21" roundtripDataChecksum="rZTawrjJSQwoBs435rxvvD0Tpn0U0cFb73M7Yi38EWI="/>
    </ext>
  </extLst>
</workbook>
</file>

<file path=xl/sharedStrings.xml><?xml version="1.0" encoding="utf-8"?>
<sst xmlns="http://schemas.openxmlformats.org/spreadsheetml/2006/main" count="681" uniqueCount="183">
  <si>
    <t>Numero</t>
  </si>
  <si>
    <t>Nombre de la Meta</t>
  </si>
  <si>
    <t>Descripcion de la Meta</t>
  </si>
  <si>
    <t>Comprender los principios fundamentales de los frameworks</t>
  </si>
  <si>
    <t>Al finalizar el curso, los estudiantes serán capaces de distinguir entre distintos tipos de frameworks y comprender sus beneficios, características y como implementarlos.</t>
  </si>
  <si>
    <t>Aplicar patrones de diseño</t>
  </si>
  <si>
    <t>Los estudiantes podrán identificar y aplicar patrones de diseño creacionales, estructurales y de comportamiento en la construcción de una arquitectura de software.</t>
  </si>
  <si>
    <t>Desarrollar arquitectura basada en principios sólidos de diseño</t>
  </si>
  <si>
    <t>Los estudiantes diseñarán la arquitectura de software siguiendo los principios de diseño de software, adaptando estos principios a las necesidades del proyecto.</t>
  </si>
  <si>
    <t>Desplegar aplicaciones en la nube</t>
  </si>
  <si>
    <t>Los estudiantes aprenderán a utilizar tecnologías como PaaS, SaaS, Docker y herramientas de infraestructura como código, para el despliegue de aplicaciones en entornos cloud.</t>
  </si>
  <si>
    <t>Colaborar en un entorno DevOps</t>
  </si>
  <si>
    <t>Los estudiantes entenderán el ciclo de vida de las aplicaciones en un entorno DevOps y utilizarán herramientas de automatización como Terraform, Ansible y CI/CD.</t>
  </si>
  <si>
    <t>Adaptar el diseño de software a requisitos específicos</t>
  </si>
  <si>
    <t>Los estudiantes podrán ajustar la arquitectura y el diseño del sistema según los distintos tipos de requerimientos y restricciones de proyectos reales.</t>
  </si>
  <si>
    <t>Aprender la importancia de la arquitectura de la información bien estructurada</t>
  </si>
  <si>
    <t>Los estudiantes aplicarán principios de arquitectura de la información para organizar y estructurar de manera efectiva el contenido y las funcionalidades requeridas.</t>
  </si>
  <si>
    <t>Integrar prácticas de pruebas en el diseño arquitectónico</t>
  </si>
  <si>
    <t>Al finalizar el curso, los estudiantes podrán diseñar arquitecturas de software que faciliten la realización de pruebas automatizadas y manuales.</t>
  </si>
  <si>
    <t>Introducir a las buenas Prácticas de Seguridad dentro de un arquitectura de software</t>
  </si>
  <si>
    <t>Al concluir el curso, los estudiantes serán capaces de diseñar arquitecturas de software que incorporen principios de seguridad desde las etapas iniciales del proyecto.</t>
  </si>
  <si>
    <t>AGREGAR BBLIOGRAFÍA EN TODAS LAS SEMANAS</t>
  </si>
  <si>
    <t>Mes</t>
  </si>
  <si>
    <t>Enero</t>
  </si>
  <si>
    <t>Semana</t>
  </si>
  <si>
    <t>Concepto Principal</t>
  </si>
  <si>
    <t>Aplicaciones y conceptos fundamentas sobre los Frameworks</t>
  </si>
  <si>
    <t>Tema</t>
  </si>
  <si>
    <t>Frameworks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</si>
  <si>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</si>
  <si>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</si>
  <si>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</si>
  <si>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</si>
  <si>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</si>
  <si>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</si>
  <si>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</si>
  <si>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</si>
  <si>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 en minutos</t>
  </si>
  <si>
    <t>Sub Tema</t>
  </si>
  <si>
    <t>Qué es un framework</t>
  </si>
  <si>
    <t>X</t>
  </si>
  <si>
    <t>Tipos de framework</t>
  </si>
  <si>
    <t>Beneficios del uso de frameworks</t>
  </si>
  <si>
    <t>Caracteristicas comunes de los frameworks</t>
  </si>
  <si>
    <t>Casos de uso especificos</t>
  </si>
  <si>
    <t>Diferencias entre framework y herramientas</t>
  </si>
  <si>
    <t xml:space="preserve">Ejemplo practico </t>
  </si>
  <si>
    <t>Tiempo Total en minutos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</si>
  <si>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</si>
  <si>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</si>
  <si>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</si>
  <si>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Análisis y Aplicación de los Elementos de Diseño en una arquitectura de Software</t>
  </si>
  <si>
    <t>Elementos de diseño</t>
  </si>
  <si>
    <t>Patrones de diseño</t>
  </si>
  <si>
    <t>Definición de patrones de diseño</t>
  </si>
  <si>
    <t>Importancia y Aplicabilidad de Patrones de diseño</t>
  </si>
  <si>
    <t>Notaciones de patrones de diseño</t>
  </si>
  <si>
    <t>x</t>
  </si>
  <si>
    <t>Ejemplos de patrones de diseño</t>
  </si>
  <si>
    <t>Contexto de diseño</t>
  </si>
  <si>
    <t>Principios de diseño de software</t>
  </si>
  <si>
    <r>
      <rPr>
        <rFont val="Arial Rounded"/>
        <color rgb="FF1F1F1F"/>
        <sz val="10.0"/>
      </rPr>
      <t>Colocar X en la casilla del recurso que se utilizara</t>
    </r>
  </si>
  <si>
    <t>Febrero</t>
  </si>
  <si>
    <t>Creacional</t>
  </si>
  <si>
    <t>Factory Method</t>
  </si>
  <si>
    <t>Abstact Factory</t>
  </si>
  <si>
    <t>Singleton</t>
  </si>
  <si>
    <t>Builder</t>
  </si>
  <si>
    <t>Prototype</t>
  </si>
  <si>
    <r>
      <rPr>
        <rFont val="Arial Rounded"/>
        <color rgb="FF1F1F1F"/>
        <sz val="10.0"/>
      </rPr>
      <t>Colocar X en la casilla del recurso que se utilizara</t>
    </r>
  </si>
  <si>
    <t>Estrucutales</t>
  </si>
  <si>
    <t>Adapter</t>
  </si>
  <si>
    <t>Proxy</t>
  </si>
  <si>
    <t>Patrones de comportamiento</t>
  </si>
  <si>
    <t>Observer</t>
  </si>
  <si>
    <t>Strategy</t>
  </si>
  <si>
    <t>Command</t>
  </si>
  <si>
    <r>
      <rPr>
        <rFont val="Arial Rounded"/>
        <color rgb="FF1F1F1F"/>
        <sz val="10.0"/>
      </rPr>
      <t>Colocar X en la casilla del recurso que se utilizara</t>
    </r>
  </si>
  <si>
    <t>Diseño y Arquitectura de la Información</t>
  </si>
  <si>
    <t>Estrategias en Diseño de Interfaces y Arquitectura de la Información</t>
  </si>
  <si>
    <t>Catálogode estilos</t>
  </si>
  <si>
    <t>Arquitectura de la información</t>
  </si>
  <si>
    <t>Experiencia de usuario (UX)</t>
  </si>
  <si>
    <t>Diseñode interfaces de usuario (UI)</t>
  </si>
  <si>
    <r>
      <rPr>
        <rFont val="Arial Rounded"/>
        <color rgb="FF1F1F1F"/>
        <sz val="10.0"/>
      </rPr>
      <t>Colocar X en la casilla del recurso que se utilizara</t>
    </r>
  </si>
  <si>
    <t>Aplicación de Patrones de Arquitectura para el Diseño y Desarrollo de Software Eficiente</t>
  </si>
  <si>
    <t>Patrones de arquitectura</t>
  </si>
  <si>
    <t>Categoría</t>
  </si>
  <si>
    <t>Objetivos</t>
  </si>
  <si>
    <t>Arquitectura por capas</t>
  </si>
  <si>
    <t>Arquitectura 4 + 1 vistas</t>
  </si>
  <si>
    <t>MVC</t>
  </si>
  <si>
    <r>
      <rPr>
        <rFont val="Arial Rounded"/>
        <color rgb="FF1F1F1F"/>
        <sz val="10.0"/>
      </rPr>
      <t>Colocar X en la casilla del recurso que se utilizara</t>
    </r>
  </si>
  <si>
    <t>Marzo</t>
  </si>
  <si>
    <t>Arquitectura monolíticas vrs microservicios</t>
  </si>
  <si>
    <t>Arquitectura orientada a eventos</t>
  </si>
  <si>
    <t>Patrones de arquitectura empresarial</t>
  </si>
  <si>
    <t>SOA (Service-Oriented Architecture)</t>
  </si>
  <si>
    <t>EDA (Event-Driven Architecture)</t>
  </si>
  <si>
    <r>
      <rPr>
        <rFont val="Arial Rounded"/>
        <color rgb="FF1F1F1F"/>
        <sz val="10.0"/>
      </rPr>
      <t>Colocar X en la casilla del recurso que se utilizara</t>
    </r>
  </si>
  <si>
    <t>Arquitecturas híbridas</t>
  </si>
  <si>
    <t>Integración de SOA y microservicios</t>
  </si>
  <si>
    <t>Patrones de integración</t>
  </si>
  <si>
    <t>Arquitectura Serverless</t>
  </si>
  <si>
    <r>
      <rPr>
        <rFont val="Arial Rounded"/>
        <color rgb="FF1F1F1F"/>
        <sz val="10.0"/>
      </rPr>
      <t>Colocar X en la casilla del recurso que se utilizara</t>
    </r>
  </si>
  <si>
    <t>Metodologías y Estrategias de Pruebas en el Desarrollo de Software: Pruebas Funcionales y No Funcionales</t>
  </si>
  <si>
    <t>Pruebas funcionales</t>
  </si>
  <si>
    <t>¿Qué son las pruebas funcionales?</t>
  </si>
  <si>
    <t xml:space="preserve">Conceptos y principios de las pruebas funcionales </t>
  </si>
  <si>
    <t xml:space="preserve">Importancia y aplicabilidad dentro de una arquitectura de software </t>
  </si>
  <si>
    <t>¿Qué son las pruebas unitarias?</t>
  </si>
  <si>
    <t>¿Qué son pruebas de aceptación?</t>
  </si>
  <si>
    <t>¿Qué son las pruebas de integración?</t>
  </si>
  <si>
    <t>¿Qué son las pruebas de regresión?</t>
  </si>
  <si>
    <r>
      <rPr>
        <rFont val="Arial Rounded"/>
        <color rgb="FF1F1F1F"/>
        <sz val="10.0"/>
      </rPr>
      <t>Colocar X en la casilla del recurso que se utilizara</t>
    </r>
  </si>
  <si>
    <t>Pruebas no funcionales</t>
  </si>
  <si>
    <t>¿Qué son las pruebas no funcionales?</t>
  </si>
  <si>
    <t xml:space="preserve">Conceptos y principios de las pruebas no funcionales </t>
  </si>
  <si>
    <t>¿Qué son las pruebas de carga?</t>
  </si>
  <si>
    <t>¿Qué son las pruebas de estres?</t>
  </si>
  <si>
    <t>¿Qué son las pruebas de escalabilidad?</t>
  </si>
  <si>
    <t>¿Qué son las pruebas de portabilidad?</t>
  </si>
  <si>
    <r>
      <rPr>
        <rFont val="Arial Rounded"/>
        <color rgb="FF1F1F1F"/>
        <sz val="10.0"/>
      </rPr>
      <t>Colocar X en la casilla del recurso que se utilizara</t>
    </r>
  </si>
  <si>
    <t>Introducción a la Seguridad en la Arquitectura de Software</t>
  </si>
  <si>
    <t>Introducción a la seguridad de sistemas</t>
  </si>
  <si>
    <t>Modelado de Amenazas</t>
  </si>
  <si>
    <t>Diseño seguro de Software</t>
  </si>
  <si>
    <t>Criptografía y Protección de Datos</t>
  </si>
  <si>
    <t>Monitorización y Respuesta a Incidentes de Seguridad</t>
  </si>
  <si>
    <t>Pruebas de seguridad</t>
  </si>
  <si>
    <t>Cumplimiento y Normativas de Seguridad</t>
  </si>
  <si>
    <r>
      <rPr>
        <rFont val="Arial Rounded"/>
        <color rgb="FF1F1F1F"/>
        <sz val="10.0"/>
      </rPr>
      <t>Colocar X en la casilla del recurso que se utilizara</t>
    </r>
  </si>
  <si>
    <t>Abril</t>
  </si>
  <si>
    <t xml:space="preserve">Estrategias y Herramientas para el Despliegue en la Nube: Aplicaciones a diferentes Arquitecturas, utilizando Docker e Infraestructura como Código (IaC)
</t>
  </si>
  <si>
    <t>Despliegue en la nube (cloud)</t>
  </si>
  <si>
    <t>Introducción a la nube</t>
  </si>
  <si>
    <t>Modelos de servicio: IaaS, PaaS, SaaS</t>
  </si>
  <si>
    <t>Contenedores y Docker</t>
  </si>
  <si>
    <t>CDN (Content Delivery Network)</t>
  </si>
  <si>
    <t>Análisis de Costos en Nube (Cost Management)</t>
  </si>
  <si>
    <t>Módulos y Reutilización de Código en Terraform</t>
  </si>
  <si>
    <t>Ansible Playbooks y Roles para Automatización Compleja</t>
  </si>
  <si>
    <r>
      <rPr>
        <rFont val="Arial Rounded"/>
        <color rgb="FF1F1F1F"/>
        <sz val="10.0"/>
      </rPr>
      <t>Colocar X en la casilla del recurso que se utilizara</t>
    </r>
  </si>
  <si>
    <t>Optimización del Ciclo de Vida de las Aplicaciones en Arquitectura de Software mediante DevOps</t>
  </si>
  <si>
    <t>Fundamentos de DevOps y el Ciclo de Vida de las Aplicaciones</t>
  </si>
  <si>
    <t>Introducción a DevOps</t>
  </si>
  <si>
    <t>Historia y Evolución de DevOps</t>
  </si>
  <si>
    <t>Beneficios de DevOps para el Desarrollo de Software</t>
  </si>
  <si>
    <t>Ciclo de Vida de las Aplicaciones en DevOps</t>
  </si>
  <si>
    <t>Desarrollo y Codificación en DevOps (Code)</t>
  </si>
  <si>
    <t>Construcción y Compilación Automatizada (Build)</t>
  </si>
  <si>
    <t>Pruebas Automatizadas en el Desarrollo Continuo (Test)</t>
  </si>
  <si>
    <r>
      <rPr>
        <rFont val="Arial Rounded"/>
        <color rgb="FF1F1F1F"/>
        <sz val="10.0"/>
      </rPr>
      <t>Colocar X en la casilla del recurso que se utilizara</t>
    </r>
  </si>
  <si>
    <t>Despliegue, Operación y Monitorización</t>
  </si>
  <si>
    <t>Despliegue Automatizado (Release)</t>
  </si>
  <si>
    <t>Despliegue Azul/Verde y Canary Releases</t>
  </si>
  <si>
    <t>Entrega Continua (CD) vs Despliegue Continuo (Deploy)</t>
  </si>
  <si>
    <t>Operación de Aplicaciones en Producción (Operate)</t>
  </si>
  <si>
    <t>Monitorización Continua de Aplicaciones (Monitor)</t>
  </si>
  <si>
    <t>DevOps Tools: Herramientas de Integración y Despliegue</t>
  </si>
  <si>
    <r>
      <rPr>
        <rFont val="Arial Rounded"/>
        <color rgb="FF1F1F1F"/>
        <sz val="10.0"/>
      </rPr>
      <t>Colocar X en la casilla del recurso que se utilizara</t>
    </r>
  </si>
  <si>
    <t>Gestión de Datos y Configuración en Entornos DevOps y Sistemas Distribuidos</t>
  </si>
  <si>
    <t>Introducción a los Formatos de Datos: JSON, XML y YAML</t>
  </si>
  <si>
    <t>Uso de JSON en Sistemas Distribuidos y Comunicación entre Servicios</t>
  </si>
  <si>
    <t>XML en la Configuración y Comunicación</t>
  </si>
  <si>
    <t>YAML para Configuración de Infraestructura</t>
  </si>
  <si>
    <t>Logging en Contenedores</t>
  </si>
  <si>
    <t>Seguridad en DevOps (DevSecOps)</t>
  </si>
  <si>
    <t>Contenedores y Orquestación</t>
  </si>
  <si>
    <r>
      <rPr>
        <rFont val="Arial Rounded"/>
        <color rgb="FF1F1F1F"/>
        <sz val="10.0"/>
      </rPr>
      <t>Colocar X en la casilla del recurso que se utilizara</t>
    </r>
  </si>
  <si>
    <t>Numero de Mes</t>
  </si>
  <si>
    <t>semana</t>
  </si>
  <si>
    <t>Nombre del Proyecto que abarca los conceptos impartidos</t>
  </si>
  <si>
    <t>Practica Única</t>
  </si>
  <si>
    <t>Proyecto Fase I</t>
  </si>
  <si>
    <t>Proyecto Fase II</t>
  </si>
  <si>
    <t>Cliente-Servidor</t>
  </si>
  <si>
    <t>Centrada en Datos</t>
  </si>
  <si>
    <t>En o por capas</t>
  </si>
  <si>
    <t>Centrada en el flujo de datos</t>
  </si>
  <si>
    <t>Proyecto Fase III</t>
  </si>
  <si>
    <t>Estrategias y Herramientas para el Despliegue en la Nube: Aplicaciones a diferentes Arquitecturas, utilizando Docker e Infraestructura como Código (IaC)</t>
  </si>
  <si>
    <t>Despligue en la nube (cloud)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</si>
</sst>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"/>
  </numFmts>
  <fonts count="1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202124"/>
      <name val="Arial"/>
    </font>
    <font>
      <color theme="1"/>
      <name val="Arial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color rgb="FF0D0D0D"/>
      <name val="Arial"/>
    </font>
    <font>
      <color rgb="FF000000"/>
      <name val="Arial"/>
    </font>
    <font/>
    <font>
      <sz val="10.0"/>
      <color rgb="FFFFFFFF"/>
      <name val="Arial"/>
    </font>
    <font>
      <b/>
      <sz val="12.0"/>
      <color theme="1"/>
      <name val="Arial"/>
    </font>
    <font>
      <sz val="10.0"/>
      <color theme="1"/>
      <name val="Arial Rounded"/>
    </font>
    <font>
      <color theme="1"/>
      <name val="Arial"/>
    </font>
    <font>
      <sz val="10.0"/>
      <color theme="1"/>
      <name val="__fkGroteskNeue_598ab8"/>
    </font>
    <font>
      <sz val="9.0"/>
      <color rgb="FF1F1F1F"/>
      <name val="&quot;Google Sans&quot;"/>
    </font>
    <font>
      <sz val="10.0"/>
      <color rgb="FF000000"/>
      <name val="Arial"/>
    </font>
    <font>
      <sz val="10.0"/>
      <color rgb="FF0D0D0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Border="1" applyFont="1"/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2" fillId="2" fontId="5" numFmtId="0" xfId="0" applyBorder="1" applyFill="1" applyFont="1"/>
    <xf borderId="2" fillId="0" fontId="6" numFmtId="0" xfId="0" applyAlignment="1" applyBorder="1" applyFont="1">
      <alignment readingOrder="0" shrinkToFit="0" wrapText="1"/>
    </xf>
    <xf borderId="0" fillId="0" fontId="6" numFmtId="0" xfId="0" applyFont="1"/>
    <xf borderId="2" fillId="3" fontId="7" numFmtId="0" xfId="0" applyAlignment="1" applyBorder="1" applyFill="1" applyFont="1">
      <alignment horizontal="left" readingOrder="0" shrinkToFit="0" wrapText="1"/>
    </xf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horizontal="left" readingOrder="0"/>
    </xf>
    <xf borderId="3" fillId="4" fontId="5" numFmtId="0" xfId="0" applyBorder="1" applyFill="1" applyFont="1"/>
    <xf borderId="4" fillId="4" fontId="5" numFmtId="0" xfId="0" applyBorder="1" applyFont="1"/>
    <xf borderId="1" fillId="4" fontId="5" numFmtId="0" xfId="0" applyAlignment="1" applyBorder="1" applyFont="1">
      <alignment horizontal="center"/>
    </xf>
    <xf borderId="5" fillId="4" fontId="5" numFmtId="0" xfId="0" applyAlignment="1" applyBorder="1" applyFont="1">
      <alignment horizontal="center"/>
    </xf>
    <xf borderId="6" fillId="0" fontId="10" numFmtId="0" xfId="0" applyBorder="1" applyFont="1"/>
    <xf borderId="7" fillId="4" fontId="5" numFmtId="0" xfId="0" applyAlignment="1" applyBorder="1" applyFont="1">
      <alignment horizontal="center" shrinkToFit="0" wrapText="1"/>
    </xf>
    <xf borderId="8" fillId="0" fontId="10" numFmtId="0" xfId="0" applyBorder="1" applyFont="1"/>
    <xf borderId="7" fillId="4" fontId="5" numFmtId="0" xfId="0" applyAlignment="1" applyBorder="1" applyFont="1">
      <alignment horizontal="center"/>
    </xf>
    <xf borderId="7" fillId="4" fontId="11" numFmtId="0" xfId="0" applyAlignment="1" applyBorder="1" applyFont="1">
      <alignment horizontal="center"/>
    </xf>
    <xf borderId="9" fillId="0" fontId="10" numFmtId="0" xfId="0" applyBorder="1" applyFont="1"/>
    <xf borderId="10" fillId="0" fontId="10" numFmtId="0" xfId="0" applyBorder="1" applyFont="1"/>
    <xf borderId="11" fillId="4" fontId="5" numFmtId="0" xfId="0" applyBorder="1" applyFont="1"/>
    <xf borderId="12" fillId="0" fontId="10" numFmtId="0" xfId="0" applyBorder="1" applyFont="1"/>
    <xf borderId="12" fillId="0" fontId="6" numFmtId="0" xfId="0" applyBorder="1" applyFont="1"/>
    <xf borderId="5" fillId="5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5" fontId="2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2" numFmtId="0" xfId="0" applyFont="1"/>
    <xf borderId="0" fillId="0" fontId="13" numFmtId="0" xfId="0" applyFont="1"/>
    <xf borderId="5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readingOrder="0" shrinkToFit="0" wrapText="1"/>
    </xf>
    <xf borderId="0" fillId="3" fontId="8" numFmtId="0" xfId="0" applyAlignment="1" applyFont="1">
      <alignment horizontal="left" readingOrder="0"/>
    </xf>
    <xf borderId="5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shrinkToFit="0" vertical="bottom" wrapText="1"/>
    </xf>
    <xf borderId="5" fillId="0" fontId="14" numFmtId="0" xfId="0" applyAlignment="1" applyBorder="1" applyFont="1">
      <alignment shrinkToFit="0" vertical="bottom" wrapText="1"/>
    </xf>
    <xf borderId="0" fillId="0" fontId="15" numFmtId="0" xfId="0" applyAlignment="1" applyFont="1">
      <alignment horizontal="left" readingOrder="0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3" fillId="4" fontId="5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5" fillId="0" fontId="2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0" fillId="3" fontId="9" numFmtId="0" xfId="0" applyAlignment="1" applyFont="1">
      <alignment readingOrder="0"/>
    </xf>
    <xf borderId="0" fillId="3" fontId="16" numFmtId="0" xfId="0" applyAlignment="1" applyFont="1">
      <alignment readingOrder="0"/>
    </xf>
    <xf borderId="13" fillId="4" fontId="5" numFmtId="0" xfId="0" applyBorder="1" applyFont="1"/>
    <xf borderId="1" fillId="0" fontId="14" numFmtId="0" xfId="0" applyAlignment="1" applyBorder="1" applyFont="1">
      <alignment vertical="bottom"/>
    </xf>
    <xf borderId="7" fillId="0" fontId="2" numFmtId="0" xfId="0" applyBorder="1" applyFont="1"/>
    <xf borderId="7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5" fillId="0" fontId="2" numFmtId="0" xfId="0" applyBorder="1" applyFont="1"/>
    <xf borderId="0" fillId="0" fontId="17" numFmtId="0" xfId="0" applyFont="1"/>
    <xf borderId="7" fillId="0" fontId="2" numFmtId="0" xfId="0" applyAlignment="1" applyBorder="1" applyFont="1">
      <alignment horizontal="center" vertical="center"/>
    </xf>
    <xf borderId="7" fillId="3" fontId="18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15" fillId="5" fontId="2" numFmtId="0" xfId="0" applyAlignment="1" applyBorder="1" applyFont="1">
      <alignment shrinkToFit="0" wrapText="1"/>
    </xf>
    <xf borderId="16" fillId="0" fontId="10" numFmtId="0" xfId="0" applyBorder="1" applyFont="1"/>
    <xf borderId="17" fillId="0" fontId="10" numFmtId="0" xfId="0" applyBorder="1" applyFont="1"/>
    <xf borderId="7" fillId="0" fontId="2" numFmtId="164" xfId="0" applyAlignment="1" applyBorder="1" applyFont="1" applyNumberFormat="1">
      <alignment horizontal="center" shrinkToFit="0" vertical="center" wrapText="1"/>
    </xf>
    <xf borderId="15" fillId="5" fontId="2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vertical="center"/>
    </xf>
    <xf borderId="5" fillId="0" fontId="17" numFmtId="0" xfId="0" applyBorder="1" applyFont="1"/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66.25"/>
    <col customWidth="1" min="3" max="3" width="15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3" t="s">
        <v>3</v>
      </c>
      <c r="C2" s="3" t="s">
        <v>4</v>
      </c>
    </row>
    <row r="3" ht="15.75" customHeight="1">
      <c r="A3" s="2">
        <v>2.0</v>
      </c>
      <c r="B3" s="3" t="s">
        <v>5</v>
      </c>
      <c r="C3" s="3" t="s">
        <v>6</v>
      </c>
    </row>
    <row r="4" ht="15.75" customHeight="1">
      <c r="A4" s="2">
        <v>3.0</v>
      </c>
      <c r="B4" s="3" t="s">
        <v>7</v>
      </c>
      <c r="C4" s="3" t="s">
        <v>8</v>
      </c>
    </row>
    <row r="5" ht="15.75" customHeight="1">
      <c r="A5" s="2">
        <v>4.0</v>
      </c>
      <c r="B5" s="3" t="s">
        <v>9</v>
      </c>
      <c r="C5" s="3" t="s">
        <v>10</v>
      </c>
    </row>
    <row r="6" ht="15.75" customHeight="1">
      <c r="A6" s="2">
        <v>5.0</v>
      </c>
      <c r="B6" s="3" t="s">
        <v>11</v>
      </c>
      <c r="C6" s="3" t="s">
        <v>12</v>
      </c>
    </row>
    <row r="7" ht="15.75" customHeight="1">
      <c r="A7" s="2">
        <v>6.0</v>
      </c>
      <c r="B7" s="3" t="s">
        <v>13</v>
      </c>
      <c r="C7" s="3" t="s">
        <v>14</v>
      </c>
    </row>
    <row r="8" ht="15.75" customHeight="1">
      <c r="A8" s="2">
        <v>7.0</v>
      </c>
      <c r="B8" s="3" t="s">
        <v>15</v>
      </c>
      <c r="C8" s="3" t="s">
        <v>16</v>
      </c>
    </row>
    <row r="9" ht="15.75" customHeight="1">
      <c r="A9" s="2">
        <v>8.0</v>
      </c>
      <c r="B9" s="4" t="s">
        <v>17</v>
      </c>
      <c r="C9" s="4" t="s">
        <v>18</v>
      </c>
    </row>
    <row r="10" ht="15.75" customHeight="1">
      <c r="A10" s="2">
        <v>9.0</v>
      </c>
      <c r="B10" s="5" t="s">
        <v>19</v>
      </c>
      <c r="C10" s="5" t="s">
        <v>20</v>
      </c>
    </row>
    <row r="11" ht="15.75" customHeight="1">
      <c r="A11" s="6"/>
      <c r="B11" s="6"/>
      <c r="C11" s="6"/>
    </row>
    <row r="12" ht="15.75" customHeight="1">
      <c r="A12" s="6"/>
      <c r="B12" s="7" t="s">
        <v>21</v>
      </c>
      <c r="C12" s="6"/>
    </row>
    <row r="13" ht="15.75" customHeight="1">
      <c r="A13" s="6"/>
      <c r="B13" s="6"/>
      <c r="C13" s="6"/>
    </row>
    <row r="14" ht="15.75" customHeight="1">
      <c r="A14" s="6"/>
      <c r="B14" s="6"/>
      <c r="C14" s="6"/>
    </row>
    <row r="15" ht="15.75" customHeight="1">
      <c r="A15" s="6"/>
      <c r="B15" s="6"/>
      <c r="C15" s="6"/>
    </row>
    <row r="16" ht="15.75" customHeight="1">
      <c r="A16" s="6"/>
      <c r="B16" s="6"/>
      <c r="C16" s="6"/>
    </row>
    <row r="17" ht="15.75" customHeight="1">
      <c r="A17" s="6"/>
      <c r="B17" s="6"/>
      <c r="C17" s="6"/>
    </row>
    <row r="18" ht="15.75" customHeight="1">
      <c r="A18" s="6"/>
      <c r="B18" s="6"/>
      <c r="C18" s="6"/>
    </row>
    <row r="19" ht="15.75" customHeight="1">
      <c r="A19" s="6"/>
      <c r="B19" s="6"/>
      <c r="C19" s="6"/>
    </row>
    <row r="20" ht="15.75" customHeight="1">
      <c r="A20" s="6"/>
      <c r="B20" s="6"/>
      <c r="C20" s="6"/>
    </row>
    <row r="21" ht="15.75" customHeight="1">
      <c r="A21" s="6"/>
      <c r="B21" s="6"/>
      <c r="C21" s="6"/>
    </row>
    <row r="22" ht="15.75" customHeight="1">
      <c r="A22" s="6"/>
      <c r="B22" s="6"/>
      <c r="C22" s="6"/>
    </row>
    <row r="23" ht="15.75" customHeight="1">
      <c r="A23" s="6"/>
      <c r="B23" s="6"/>
      <c r="C23" s="6"/>
    </row>
    <row r="24" ht="15.75" customHeight="1">
      <c r="A24" s="6"/>
      <c r="B24" s="6"/>
      <c r="C24" s="6"/>
    </row>
    <row r="25" ht="15.75" customHeight="1">
      <c r="A25" s="6"/>
      <c r="B25" s="6"/>
      <c r="C25" s="6"/>
    </row>
    <row r="26" ht="15.75" customHeight="1">
      <c r="A26" s="6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>
      <c r="A29" s="6"/>
      <c r="B29" s="6"/>
      <c r="C29" s="6"/>
    </row>
    <row r="30" ht="15.75" customHeight="1">
      <c r="A30" s="6"/>
      <c r="B30" s="6"/>
      <c r="C30" s="6"/>
    </row>
    <row r="31" ht="15.75" customHeight="1">
      <c r="A31" s="6"/>
      <c r="B31" s="6"/>
      <c r="C31" s="6"/>
    </row>
    <row r="32" ht="15.75" customHeight="1">
      <c r="A32" s="6"/>
      <c r="B32" s="6"/>
      <c r="C32" s="6"/>
    </row>
    <row r="33" ht="15.75" customHeight="1">
      <c r="A33" s="6"/>
      <c r="B33" s="6"/>
      <c r="C33" s="6"/>
    </row>
    <row r="34" ht="15.75" customHeight="1">
      <c r="A34" s="6"/>
      <c r="B34" s="6"/>
      <c r="C34" s="6"/>
    </row>
    <row r="35" ht="15.75" customHeight="1">
      <c r="A35" s="6"/>
      <c r="B35" s="6"/>
      <c r="C35" s="6"/>
    </row>
    <row r="36" ht="15.75" customHeight="1">
      <c r="A36" s="6"/>
      <c r="B36" s="6"/>
      <c r="C36" s="6"/>
    </row>
    <row r="37" ht="15.75" customHeight="1">
      <c r="A37" s="6"/>
      <c r="B37" s="6"/>
      <c r="C37" s="6"/>
    </row>
    <row r="38" ht="15.75" customHeight="1">
      <c r="A38" s="6"/>
      <c r="B38" s="6"/>
      <c r="C38" s="6"/>
    </row>
    <row r="39" ht="15.75" customHeight="1">
      <c r="A39" s="6"/>
      <c r="B39" s="6"/>
      <c r="C39" s="6"/>
    </row>
    <row r="40" ht="15.75" customHeight="1">
      <c r="A40" s="6"/>
      <c r="B40" s="6"/>
      <c r="C40" s="6"/>
    </row>
    <row r="41" ht="15.75" customHeight="1">
      <c r="A41" s="6"/>
      <c r="B41" s="6"/>
      <c r="C41" s="6"/>
    </row>
    <row r="42" ht="15.75" customHeight="1">
      <c r="A42" s="6"/>
      <c r="B42" s="6"/>
      <c r="C42" s="6"/>
    </row>
    <row r="43" ht="15.75" customHeight="1">
      <c r="A43" s="6"/>
      <c r="B43" s="6"/>
      <c r="C43" s="6"/>
    </row>
    <row r="44" ht="15.75" customHeight="1">
      <c r="A44" s="6"/>
      <c r="B44" s="6"/>
      <c r="C44" s="6"/>
    </row>
    <row r="45" ht="15.75" customHeight="1">
      <c r="A45" s="6"/>
      <c r="B45" s="6"/>
      <c r="C45" s="6"/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23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1.0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12" t="s">
        <v>26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28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28" t="s">
        <v>39</v>
      </c>
      <c r="C9" s="29" t="s">
        <v>40</v>
      </c>
      <c r="D9" s="29" t="s">
        <v>40</v>
      </c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25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28" t="s">
        <v>41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28" t="s">
        <v>42</v>
      </c>
      <c r="C11" s="29" t="s">
        <v>40</v>
      </c>
      <c r="D11" s="30"/>
      <c r="E11" s="30"/>
      <c r="F11" s="30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28" t="s">
        <v>43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28" t="s">
        <v>44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28" t="s">
        <v>45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33" t="s">
        <v>46</v>
      </c>
      <c r="C15" s="30"/>
      <c r="D15" s="30"/>
      <c r="E15" s="30"/>
      <c r="F15" s="29" t="s">
        <v>40</v>
      </c>
      <c r="G15" s="30"/>
      <c r="H15" s="30"/>
      <c r="I15" s="30"/>
      <c r="J15" s="30">
        <f t="shared" si="1"/>
        <v>15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115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49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23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2.0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12" t="s">
        <v>51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52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37" t="s">
        <v>53</v>
      </c>
      <c r="C9" s="29" t="s">
        <v>40</v>
      </c>
      <c r="D9" s="29"/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37" t="s">
        <v>54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37" t="s">
        <v>55</v>
      </c>
      <c r="C11" s="29" t="s">
        <v>40</v>
      </c>
      <c r="D11" s="30"/>
      <c r="E11" s="30"/>
      <c r="F11" s="30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37" t="s">
        <v>56</v>
      </c>
      <c r="C12" s="29"/>
      <c r="D12" s="30"/>
      <c r="E12" s="29" t="s">
        <v>57</v>
      </c>
      <c r="F12" s="29" t="s">
        <v>57</v>
      </c>
      <c r="G12" s="30"/>
      <c r="H12" s="30"/>
      <c r="I12" s="30"/>
      <c r="J12" s="30">
        <f t="shared" si="1"/>
        <v>25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37" t="s">
        <v>58</v>
      </c>
      <c r="C13" s="29" t="s">
        <v>40</v>
      </c>
      <c r="D13" s="29" t="s">
        <v>40</v>
      </c>
      <c r="E13" s="29"/>
      <c r="F13" s="30"/>
      <c r="G13" s="30"/>
      <c r="H13" s="30"/>
      <c r="I13" s="30"/>
      <c r="J13" s="30">
        <f t="shared" si="1"/>
        <v>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37" t="s">
        <v>59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38" t="s">
        <v>60</v>
      </c>
      <c r="C15" s="30"/>
      <c r="D15" s="30"/>
      <c r="E15" s="29" t="s">
        <v>40</v>
      </c>
      <c r="F15" s="29"/>
      <c r="G15" s="30"/>
      <c r="H15" s="30"/>
      <c r="I15" s="30"/>
      <c r="J15" s="30">
        <f t="shared" si="1"/>
        <v>10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120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61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62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3.0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39" t="s">
        <v>51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52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37" t="s">
        <v>63</v>
      </c>
      <c r="C9" s="29"/>
      <c r="D9" s="29" t="s">
        <v>40</v>
      </c>
      <c r="E9" s="29" t="s">
        <v>40</v>
      </c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20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37" t="s">
        <v>64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37" t="s">
        <v>65</v>
      </c>
      <c r="C11" s="29" t="s">
        <v>40</v>
      </c>
      <c r="D11" s="30"/>
      <c r="E11" s="30"/>
      <c r="F11" s="30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37" t="s">
        <v>66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37" t="s">
        <v>63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37" t="s">
        <v>67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38" t="s">
        <v>68</v>
      </c>
      <c r="C15" s="30"/>
      <c r="D15" s="30"/>
      <c r="E15" s="29" t="s">
        <v>40</v>
      </c>
      <c r="F15" s="29"/>
      <c r="G15" s="30"/>
      <c r="H15" s="30"/>
      <c r="I15" s="30"/>
      <c r="J15" s="30">
        <f t="shared" si="1"/>
        <v>10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105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69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62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4.0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39" t="s">
        <v>51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52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37" t="s">
        <v>70</v>
      </c>
      <c r="C9" s="29" t="s">
        <v>40</v>
      </c>
      <c r="D9" s="29"/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37" t="s">
        <v>71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37" t="s">
        <v>72</v>
      </c>
      <c r="C11" s="29" t="s">
        <v>40</v>
      </c>
      <c r="D11" s="30"/>
      <c r="E11" s="30"/>
      <c r="F11" s="30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37" t="s">
        <v>73</v>
      </c>
      <c r="C12" s="29" t="s">
        <v>40</v>
      </c>
      <c r="D12" s="29" t="s">
        <v>40</v>
      </c>
      <c r="E12" s="30"/>
      <c r="F12" s="30"/>
      <c r="G12" s="30"/>
      <c r="H12" s="30"/>
      <c r="I12" s="30"/>
      <c r="J12" s="30">
        <f t="shared" si="1"/>
        <v>25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37" t="s">
        <v>74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37" t="s">
        <v>75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38" t="s">
        <v>76</v>
      </c>
      <c r="C15" s="30"/>
      <c r="D15" s="30"/>
      <c r="E15" s="29" t="s">
        <v>40</v>
      </c>
      <c r="F15" s="29"/>
      <c r="G15" s="30"/>
      <c r="H15" s="30"/>
      <c r="I15" s="30"/>
      <c r="J15" s="30">
        <f t="shared" si="1"/>
        <v>10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110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77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62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5.0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39" t="s">
        <v>78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79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37" t="s">
        <v>80</v>
      </c>
      <c r="C9" s="29" t="s">
        <v>40</v>
      </c>
      <c r="D9" s="29" t="s">
        <v>40</v>
      </c>
      <c r="E9" s="29" t="s">
        <v>40</v>
      </c>
      <c r="F9" s="30"/>
      <c r="G9" s="29"/>
      <c r="H9" s="30"/>
      <c r="I9" s="30"/>
      <c r="J9" s="30">
        <f t="shared" ref="J9:J12" si="1">IF(C9="",$C$8,15)+IF(D9="",$D$8,10)+IF(E9="",$E$8,10)+IF(F9="",$F$8,15)+IF(G9="",$G$8,5)+IF(H9="",$H$8,5)+IF(I9="",$I$8,15)</f>
        <v>35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37" t="s">
        <v>81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37" t="s">
        <v>82</v>
      </c>
      <c r="C11" s="29" t="s">
        <v>40</v>
      </c>
      <c r="D11" s="30"/>
      <c r="E11" s="30"/>
      <c r="F11" s="29" t="s">
        <v>40</v>
      </c>
      <c r="G11" s="30"/>
      <c r="H11" s="30"/>
      <c r="I11" s="30"/>
      <c r="J11" s="30">
        <f t="shared" si="1"/>
        <v>30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37" t="s">
        <v>83</v>
      </c>
      <c r="C12" s="29" t="s">
        <v>40</v>
      </c>
      <c r="D12" s="30"/>
      <c r="E12" s="29"/>
      <c r="F12" s="29" t="s">
        <v>40</v>
      </c>
      <c r="G12" s="30"/>
      <c r="H12" s="30"/>
      <c r="I12" s="30"/>
      <c r="J12" s="30">
        <f t="shared" si="1"/>
        <v>30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C13" s="10"/>
      <c r="D13" s="10"/>
      <c r="E13" s="10"/>
      <c r="F13" s="10"/>
      <c r="G13" s="10"/>
      <c r="H13" s="10"/>
      <c r="I13" s="34" t="s">
        <v>47</v>
      </c>
      <c r="J13" s="35">
        <f>SUM(J7:J12)</f>
        <v>110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6" t="s">
        <v>48</v>
      </c>
      <c r="B15" s="10"/>
      <c r="C15" s="10"/>
      <c r="D15" s="10"/>
      <c r="E15" s="10"/>
      <c r="F15" s="10"/>
      <c r="G15" s="10"/>
      <c r="H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36" t="s">
        <v>84</v>
      </c>
      <c r="B16" s="10"/>
      <c r="C16" s="10"/>
      <c r="D16" s="10"/>
      <c r="E16" s="10"/>
      <c r="F16" s="10"/>
      <c r="G16" s="10"/>
      <c r="H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36" t="s">
        <v>50</v>
      </c>
      <c r="B17" s="10"/>
      <c r="C17" s="10"/>
      <c r="D17" s="10"/>
      <c r="E17" s="10"/>
      <c r="F17" s="10"/>
      <c r="G17" s="10"/>
      <c r="H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62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6.0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39" t="s">
        <v>85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37" t="s">
        <v>87</v>
      </c>
      <c r="C9" s="29" t="s">
        <v>40</v>
      </c>
      <c r="D9" s="29" t="s">
        <v>40</v>
      </c>
      <c r="E9" s="30"/>
      <c r="F9" s="30"/>
      <c r="G9" s="29"/>
      <c r="H9" s="30"/>
      <c r="I9" s="30"/>
      <c r="J9" s="30">
        <f t="shared" ref="J9:J13" si="1">IF(C9="",$C$8,15)+IF(D9="",$D$8,10)+IF(E9="",$E$8,10)+IF(F9="",$F$8,15)+IF(G9="",$G$8,5)+IF(H9="",$H$8,5)+IF(I9="",$I$8,15)</f>
        <v>25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37" t="s">
        <v>88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37" t="s">
        <v>89</v>
      </c>
      <c r="C11" s="29" t="s">
        <v>40</v>
      </c>
      <c r="D11" s="30"/>
      <c r="E11" s="29" t="s">
        <v>40</v>
      </c>
      <c r="F11" s="30"/>
      <c r="G11" s="30"/>
      <c r="H11" s="30"/>
      <c r="I11" s="30"/>
      <c r="J11" s="30">
        <f t="shared" si="1"/>
        <v>25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37" t="s">
        <v>90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37" t="s">
        <v>91</v>
      </c>
      <c r="C13" s="29" t="s">
        <v>40</v>
      </c>
      <c r="D13" s="30"/>
      <c r="E13" s="29" t="s">
        <v>40</v>
      </c>
      <c r="F13" s="29" t="s">
        <v>40</v>
      </c>
      <c r="G13" s="30"/>
      <c r="H13" s="30"/>
      <c r="I13" s="30"/>
      <c r="J13" s="30">
        <f t="shared" si="1"/>
        <v>40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C14" s="10"/>
      <c r="D14" s="10"/>
      <c r="E14" s="10"/>
      <c r="F14" s="10"/>
      <c r="G14" s="10"/>
      <c r="H14" s="10"/>
      <c r="I14" s="34" t="s">
        <v>47</v>
      </c>
      <c r="J14" s="35">
        <f>SUM(J7:J13)</f>
        <v>120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36" t="s">
        <v>48</v>
      </c>
      <c r="B16" s="10"/>
      <c r="C16" s="10"/>
      <c r="D16" s="10"/>
      <c r="E16" s="10"/>
      <c r="F16" s="10"/>
      <c r="G16" s="10"/>
      <c r="H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36" t="s">
        <v>92</v>
      </c>
      <c r="B17" s="10"/>
      <c r="C17" s="10"/>
      <c r="D17" s="10"/>
      <c r="E17" s="10"/>
      <c r="F17" s="10"/>
      <c r="G17" s="10"/>
      <c r="H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50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93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7.0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39" t="s">
        <v>85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40" t="s">
        <v>94</v>
      </c>
      <c r="C9" s="29" t="s">
        <v>40</v>
      </c>
      <c r="D9" s="29"/>
      <c r="E9" s="30"/>
      <c r="F9" s="29" t="s">
        <v>40</v>
      </c>
      <c r="G9" s="29"/>
      <c r="H9" s="30"/>
      <c r="I9" s="30"/>
      <c r="J9" s="30">
        <f t="shared" ref="J9:J13" si="1">IF(C9="",$C$8,15)+IF(D9="",$D$8,10)+IF(E9="",$E$8,10)+IF(F9="",$F$8,15)+IF(G9="",$G$8,5)+IF(H9="",$H$8,5)+IF(I9="",$I$8,15)</f>
        <v>30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40" t="s">
        <v>95</v>
      </c>
      <c r="C10" s="29" t="s">
        <v>40</v>
      </c>
      <c r="D10" s="29"/>
      <c r="E10" s="29" t="s">
        <v>40</v>
      </c>
      <c r="F10" s="30"/>
      <c r="G10" s="30"/>
      <c r="H10" s="30"/>
      <c r="I10" s="30"/>
      <c r="J10" s="30">
        <f t="shared" si="1"/>
        <v>25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40" t="s">
        <v>96</v>
      </c>
      <c r="C11" s="29" t="s">
        <v>40</v>
      </c>
      <c r="D11" s="30"/>
      <c r="E11" s="30"/>
      <c r="F11" s="30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40" t="s">
        <v>97</v>
      </c>
      <c r="C12" s="29" t="s">
        <v>40</v>
      </c>
      <c r="D12" s="30"/>
      <c r="E12" s="29" t="s">
        <v>40</v>
      </c>
      <c r="F12" s="30"/>
      <c r="G12" s="30"/>
      <c r="H12" s="30"/>
      <c r="I12" s="30"/>
      <c r="J12" s="30">
        <f t="shared" si="1"/>
        <v>25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40" t="s">
        <v>98</v>
      </c>
      <c r="C13" s="29" t="s">
        <v>40</v>
      </c>
      <c r="D13" s="29" t="s">
        <v>40</v>
      </c>
      <c r="E13" s="29"/>
      <c r="F13" s="30"/>
      <c r="G13" s="30"/>
      <c r="H13" s="30"/>
      <c r="I13" s="30"/>
      <c r="J13" s="30">
        <f t="shared" si="1"/>
        <v>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C14" s="10"/>
      <c r="D14" s="10"/>
      <c r="E14" s="10"/>
      <c r="F14" s="10"/>
      <c r="G14" s="10"/>
      <c r="H14" s="10"/>
      <c r="I14" s="34" t="s">
        <v>47</v>
      </c>
      <c r="J14" s="35">
        <f>SUM(J7:J13)</f>
        <v>120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36" t="s">
        <v>48</v>
      </c>
      <c r="B16" s="10"/>
      <c r="C16" s="10"/>
      <c r="D16" s="10"/>
      <c r="E16" s="10"/>
      <c r="F16" s="10"/>
      <c r="G16" s="10"/>
      <c r="H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36" t="s">
        <v>99</v>
      </c>
      <c r="B17" s="10"/>
      <c r="C17" s="10"/>
      <c r="D17" s="10"/>
      <c r="E17" s="10"/>
      <c r="F17" s="10"/>
      <c r="G17" s="10"/>
      <c r="H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50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93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8.0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39" t="s">
        <v>85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40" t="s">
        <v>100</v>
      </c>
      <c r="C9" s="29" t="s">
        <v>40</v>
      </c>
      <c r="D9" s="29" t="s">
        <v>40</v>
      </c>
      <c r="E9" s="30"/>
      <c r="F9" s="29" t="s">
        <v>40</v>
      </c>
      <c r="G9" s="29"/>
      <c r="H9" s="30"/>
      <c r="I9" s="30"/>
      <c r="J9" s="30">
        <f t="shared" ref="J9:J12" si="1">IF(C9="",$C$8,15)+IF(D9="",$D$8,10)+IF(E9="",$E$8,10)+IF(F9="",$F$8,15)+IF(G9="",$G$8,5)+IF(H9="",$H$8,5)+IF(I9="",$I$8,15)</f>
        <v>40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40" t="s">
        <v>101</v>
      </c>
      <c r="C10" s="29" t="s">
        <v>40</v>
      </c>
      <c r="D10" s="29"/>
      <c r="E10" s="29" t="s">
        <v>40</v>
      </c>
      <c r="F10" s="30"/>
      <c r="G10" s="30"/>
      <c r="H10" s="30"/>
      <c r="I10" s="30"/>
      <c r="J10" s="30">
        <f t="shared" si="1"/>
        <v>25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40" t="s">
        <v>102</v>
      </c>
      <c r="C11" s="29" t="s">
        <v>40</v>
      </c>
      <c r="D11" s="30"/>
      <c r="E11" s="29" t="s">
        <v>40</v>
      </c>
      <c r="F11" s="29" t="s">
        <v>40</v>
      </c>
      <c r="G11" s="30"/>
      <c r="H11" s="30"/>
      <c r="I11" s="30"/>
      <c r="J11" s="30">
        <f t="shared" si="1"/>
        <v>40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40" t="s">
        <v>103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C13" s="10"/>
      <c r="D13" s="10"/>
      <c r="E13" s="10"/>
      <c r="F13" s="10"/>
      <c r="G13" s="10"/>
      <c r="H13" s="10"/>
      <c r="I13" s="34" t="s">
        <v>47</v>
      </c>
      <c r="J13" s="35">
        <f>SUM(J7:J12)</f>
        <v>120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6" t="s">
        <v>48</v>
      </c>
      <c r="B15" s="10"/>
      <c r="C15" s="10"/>
      <c r="D15" s="10"/>
      <c r="E15" s="10"/>
      <c r="F15" s="10"/>
      <c r="G15" s="10"/>
      <c r="H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36" t="s">
        <v>104</v>
      </c>
      <c r="B16" s="10"/>
      <c r="C16" s="10"/>
      <c r="D16" s="10"/>
      <c r="E16" s="10"/>
      <c r="F16" s="10"/>
      <c r="G16" s="10"/>
      <c r="H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36" t="s">
        <v>50</v>
      </c>
      <c r="B17" s="10"/>
      <c r="C17" s="10"/>
      <c r="D17" s="10"/>
      <c r="E17" s="10"/>
      <c r="F17" s="10"/>
      <c r="G17" s="10"/>
      <c r="H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81.5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93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9.0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12" t="s">
        <v>105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106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27">
        <v>1.0</v>
      </c>
      <c r="B9" s="41" t="s">
        <v>107</v>
      </c>
      <c r="C9" s="29"/>
      <c r="D9" s="29" t="s">
        <v>40</v>
      </c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40" t="s">
        <v>108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40" t="s">
        <v>109</v>
      </c>
      <c r="C11" s="29" t="s">
        <v>40</v>
      </c>
      <c r="D11" s="30"/>
      <c r="E11" s="30"/>
      <c r="F11" s="29" t="s">
        <v>40</v>
      </c>
      <c r="G11" s="29"/>
      <c r="H11" s="30"/>
      <c r="I11" s="30"/>
      <c r="J11" s="30">
        <f t="shared" si="1"/>
        <v>30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40" t="s">
        <v>110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40" t="s">
        <v>111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40" t="s">
        <v>112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40" t="s">
        <v>113</v>
      </c>
      <c r="C15" s="29" t="s">
        <v>40</v>
      </c>
      <c r="D15" s="30"/>
      <c r="E15" s="30"/>
      <c r="F15" s="29"/>
      <c r="G15" s="30"/>
      <c r="H15" s="30"/>
      <c r="I15" s="30"/>
      <c r="J15" s="30">
        <f t="shared" si="1"/>
        <v>15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115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114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81.5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93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10.0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12" t="s">
        <v>105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115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27">
        <v>1.0</v>
      </c>
      <c r="B9" s="40" t="s">
        <v>116</v>
      </c>
      <c r="C9" s="29"/>
      <c r="D9" s="29" t="s">
        <v>40</v>
      </c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40" t="s">
        <v>117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40" t="s">
        <v>109</v>
      </c>
      <c r="C11" s="29" t="s">
        <v>40</v>
      </c>
      <c r="D11" s="30"/>
      <c r="E11" s="30"/>
      <c r="F11" s="29" t="s">
        <v>40</v>
      </c>
      <c r="G11" s="29"/>
      <c r="H11" s="30"/>
      <c r="I11" s="30"/>
      <c r="J11" s="30">
        <f t="shared" si="1"/>
        <v>30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40" t="s">
        <v>118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42" t="s">
        <v>119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40" t="s">
        <v>120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40" t="s">
        <v>121</v>
      </c>
      <c r="C15" s="29" t="s">
        <v>40</v>
      </c>
      <c r="D15" s="30"/>
      <c r="E15" s="30"/>
      <c r="F15" s="29"/>
      <c r="G15" s="30"/>
      <c r="H15" s="30"/>
      <c r="I15" s="30"/>
      <c r="J15" s="30">
        <f t="shared" si="1"/>
        <v>15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115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122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4.13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93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11.0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43" t="s">
        <v>123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124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44" t="s">
        <v>124</v>
      </c>
      <c r="C9" s="29"/>
      <c r="D9" s="29" t="s">
        <v>40</v>
      </c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44" t="s">
        <v>125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44" t="s">
        <v>126</v>
      </c>
      <c r="C11" s="29" t="s">
        <v>40</v>
      </c>
      <c r="D11" s="30"/>
      <c r="E11" s="30"/>
      <c r="F11" s="30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45" t="s">
        <v>127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45" t="s">
        <v>128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44" t="s">
        <v>129</v>
      </c>
      <c r="C14" s="29" t="s">
        <v>40</v>
      </c>
      <c r="D14" s="29"/>
      <c r="E14" s="30"/>
      <c r="F14" s="29" t="s">
        <v>40</v>
      </c>
      <c r="G14" s="30"/>
      <c r="H14" s="30"/>
      <c r="I14" s="30"/>
      <c r="J14" s="30">
        <f t="shared" si="1"/>
        <v>30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44" t="s">
        <v>130</v>
      </c>
      <c r="C15" s="29" t="s">
        <v>40</v>
      </c>
      <c r="D15" s="30"/>
      <c r="E15" s="30"/>
      <c r="F15" s="29"/>
      <c r="G15" s="30"/>
      <c r="H15" s="30"/>
      <c r="I15" s="30"/>
      <c r="J15" s="30">
        <f t="shared" si="1"/>
        <v>15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115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131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14.5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132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12.0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12" t="s">
        <v>133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134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46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47">
        <v>1.0</v>
      </c>
      <c r="B9" s="48" t="s">
        <v>135</v>
      </c>
      <c r="C9" s="29"/>
      <c r="D9" s="29" t="s">
        <v>40</v>
      </c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49">
        <v>2.0</v>
      </c>
      <c r="B10" s="48" t="s">
        <v>136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49">
        <v>3.0</v>
      </c>
      <c r="B11" s="48" t="s">
        <v>137</v>
      </c>
      <c r="C11" s="29" t="s">
        <v>40</v>
      </c>
      <c r="D11" s="30"/>
      <c r="E11" s="30"/>
      <c r="F11" s="29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49">
        <v>4.0</v>
      </c>
      <c r="B12" s="48" t="s">
        <v>138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49">
        <v>5.0</v>
      </c>
      <c r="B13" s="4" t="s">
        <v>139</v>
      </c>
      <c r="C13" s="29" t="s">
        <v>40</v>
      </c>
      <c r="D13" s="30"/>
      <c r="E13" s="29"/>
      <c r="F13" s="29"/>
      <c r="G13" s="29" t="s">
        <v>40</v>
      </c>
      <c r="H13" s="30"/>
      <c r="I13" s="30"/>
      <c r="J13" s="30">
        <f t="shared" si="1"/>
        <v>20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50">
        <v>6.0</v>
      </c>
      <c r="B14" s="51" t="s">
        <v>140</v>
      </c>
      <c r="C14" s="29" t="s">
        <v>40</v>
      </c>
      <c r="D14" s="30"/>
      <c r="E14" s="29"/>
      <c r="F14" s="29"/>
      <c r="G14" s="29" t="s">
        <v>40</v>
      </c>
      <c r="H14" s="30"/>
      <c r="I14" s="30"/>
      <c r="J14" s="30">
        <f t="shared" si="1"/>
        <v>20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50">
        <v>7.0</v>
      </c>
      <c r="B15" s="51" t="s">
        <v>141</v>
      </c>
      <c r="C15" s="29" t="s">
        <v>40</v>
      </c>
      <c r="D15" s="30"/>
      <c r="E15" s="29"/>
      <c r="F15" s="29"/>
      <c r="G15" s="30"/>
      <c r="H15" s="30"/>
      <c r="I15" s="30"/>
      <c r="J15" s="30">
        <f t="shared" si="1"/>
        <v>15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110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142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73.25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132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13.0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12" t="s">
        <v>143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13" t="s">
        <v>144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4" t="s">
        <v>145</v>
      </c>
      <c r="C9" s="29"/>
      <c r="D9" s="29" t="s">
        <v>40</v>
      </c>
      <c r="E9" s="30"/>
      <c r="F9" s="30"/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4" t="s">
        <v>146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4" t="s">
        <v>147</v>
      </c>
      <c r="C11" s="29" t="s">
        <v>40</v>
      </c>
      <c r="D11" s="30"/>
      <c r="E11" s="30"/>
      <c r="F11" s="30"/>
      <c r="G11" s="30"/>
      <c r="H11" s="30"/>
      <c r="I11" s="30"/>
      <c r="J11" s="30">
        <f t="shared" si="1"/>
        <v>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4" t="s">
        <v>148</v>
      </c>
      <c r="C12" s="29" t="s">
        <v>40</v>
      </c>
      <c r="D12" s="30"/>
      <c r="E12" s="30"/>
      <c r="F12" s="29" t="s">
        <v>40</v>
      </c>
      <c r="G12" s="29"/>
      <c r="H12" s="30"/>
      <c r="I12" s="30"/>
      <c r="J12" s="30">
        <f t="shared" si="1"/>
        <v>30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4" t="s">
        <v>149</v>
      </c>
      <c r="C13" s="29" t="s">
        <v>40</v>
      </c>
      <c r="D13" s="30"/>
      <c r="E13" s="29"/>
      <c r="F13" s="30"/>
      <c r="G13" s="29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4" t="s">
        <v>150</v>
      </c>
      <c r="C14" s="29" t="s">
        <v>40</v>
      </c>
      <c r="D14" s="29"/>
      <c r="E14" s="30"/>
      <c r="F14" s="30"/>
      <c r="G14" s="29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4" t="s">
        <v>151</v>
      </c>
      <c r="C15" s="29" t="s">
        <v>40</v>
      </c>
      <c r="D15" s="30"/>
      <c r="E15" s="30"/>
      <c r="F15" s="29"/>
      <c r="G15" s="29"/>
      <c r="H15" s="30"/>
      <c r="I15" s="30"/>
      <c r="J15" s="30">
        <f t="shared" si="1"/>
        <v>15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115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152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73.25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132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14.0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52" t="s">
        <v>143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52" t="s">
        <v>153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25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45" t="s">
        <v>154</v>
      </c>
      <c r="C9" s="29" t="s">
        <v>40</v>
      </c>
      <c r="D9" s="29"/>
      <c r="E9" s="30"/>
      <c r="F9" s="30"/>
      <c r="G9" s="29"/>
      <c r="H9" s="30"/>
      <c r="I9" s="30"/>
      <c r="J9" s="30">
        <f t="shared" ref="J9:J14" si="1">IF(C9="",$C$8,15)+IF(D9="",$D$8,10)+IF(E9="",$E$8,10)+IF(F9="",$F$8,15)+IF(G9="",$G$8,5)+IF(H9="",$H$8,5)+IF(I9="",$I$8,15)</f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45" t="s">
        <v>155</v>
      </c>
      <c r="C10" s="29" t="s">
        <v>40</v>
      </c>
      <c r="D10" s="29" t="s">
        <v>40</v>
      </c>
      <c r="E10" s="30"/>
      <c r="F10" s="30"/>
      <c r="G10" s="30"/>
      <c r="H10" s="30"/>
      <c r="I10" s="30"/>
      <c r="J10" s="30">
        <f t="shared" si="1"/>
        <v>25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45" t="s">
        <v>156</v>
      </c>
      <c r="C11" s="29" t="s">
        <v>40</v>
      </c>
      <c r="D11" s="30"/>
      <c r="E11" s="30"/>
      <c r="F11" s="29" t="s">
        <v>40</v>
      </c>
      <c r="G11" s="30"/>
      <c r="H11" s="30"/>
      <c r="I11" s="30"/>
      <c r="J11" s="30">
        <f t="shared" si="1"/>
        <v>30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45" t="s">
        <v>157</v>
      </c>
      <c r="C12" s="29" t="s">
        <v>40</v>
      </c>
      <c r="D12" s="30"/>
      <c r="E12" s="30"/>
      <c r="F12" s="30"/>
      <c r="G12" s="30"/>
      <c r="H12" s="30"/>
      <c r="I12" s="30"/>
      <c r="J12" s="30">
        <f t="shared" si="1"/>
        <v>15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45" t="s">
        <v>158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45" t="s">
        <v>159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C15" s="10"/>
      <c r="D15" s="10"/>
      <c r="E15" s="10"/>
      <c r="F15" s="10"/>
      <c r="G15" s="10"/>
      <c r="H15" s="10"/>
      <c r="I15" s="34" t="s">
        <v>47</v>
      </c>
      <c r="J15" s="35">
        <f>SUM(J7:J14)</f>
        <v>115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36" t="s">
        <v>48</v>
      </c>
      <c r="B17" s="10"/>
      <c r="C17" s="10"/>
      <c r="D17" s="10"/>
      <c r="E17" s="10"/>
      <c r="F17" s="10"/>
      <c r="G17" s="10"/>
      <c r="H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160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50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66.75"/>
    <col customWidth="1" min="3" max="4" width="12.25"/>
    <col customWidth="1" min="5" max="5" width="10.38"/>
    <col customWidth="1" min="6" max="6" width="8.38"/>
    <col customWidth="1" min="7" max="7" width="7.88"/>
    <col customWidth="1" min="8" max="8" width="8.88"/>
    <col customWidth="1" min="9" max="9" width="11.88"/>
  </cols>
  <sheetData>
    <row r="1" ht="15.75" customHeight="1">
      <c r="A1" s="8" t="s">
        <v>22</v>
      </c>
      <c r="B1" s="9" t="s">
        <v>132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8" t="s">
        <v>24</v>
      </c>
      <c r="B2" s="11">
        <v>15.0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8" t="s">
        <v>25</v>
      </c>
      <c r="B3" s="53" t="s">
        <v>143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8" t="s">
        <v>27</v>
      </c>
      <c r="B4" s="53" t="s">
        <v>161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14" t="s">
        <v>29</v>
      </c>
      <c r="B6" s="15" t="s">
        <v>30</v>
      </c>
      <c r="C6" s="16" t="s">
        <v>31</v>
      </c>
      <c r="D6" s="16" t="s">
        <v>32</v>
      </c>
      <c r="E6" s="16" t="s">
        <v>33</v>
      </c>
      <c r="F6" s="17" t="s">
        <v>34</v>
      </c>
      <c r="G6" s="18"/>
      <c r="H6" s="17" t="s">
        <v>35</v>
      </c>
      <c r="I6" s="18"/>
      <c r="J6" s="19" t="s">
        <v>36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0"/>
      <c r="B7" s="15" t="s">
        <v>37</v>
      </c>
      <c r="C7" s="21">
        <v>15.0</v>
      </c>
      <c r="D7" s="21">
        <v>10.0</v>
      </c>
      <c r="E7" s="22">
        <v>10.0</v>
      </c>
      <c r="F7" s="21">
        <v>15.0</v>
      </c>
      <c r="G7" s="21">
        <v>5.0</v>
      </c>
      <c r="H7" s="21">
        <v>5.0</v>
      </c>
      <c r="I7" s="21">
        <v>15.0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4"/>
      <c r="B8" s="54" t="s">
        <v>38</v>
      </c>
      <c r="C8" s="26"/>
      <c r="D8" s="26"/>
      <c r="E8" s="26"/>
      <c r="F8" s="26"/>
      <c r="G8" s="26"/>
      <c r="H8" s="26"/>
      <c r="I8" s="26"/>
      <c r="J8" s="2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7.0" customHeight="1">
      <c r="A9" s="27">
        <v>1.0</v>
      </c>
      <c r="B9" s="55" t="s">
        <v>162</v>
      </c>
      <c r="C9" s="29"/>
      <c r="D9" s="29" t="s">
        <v>40</v>
      </c>
      <c r="E9" s="30"/>
      <c r="F9" s="29" t="s">
        <v>40</v>
      </c>
      <c r="G9" s="29"/>
      <c r="H9" s="30"/>
      <c r="I9" s="30"/>
      <c r="J9" s="30">
        <f t="shared" ref="J9:J15" si="1">IF(C9="",$C$8,15)+IF(D9="",$D$8,10)+IF(E9="",$E$8,10)+IF(F9="",$F$8,15)+IF(G9="",$G$8,5)+IF(H9="",$H$8,5)+IF(I9="",$I$8,15)</f>
        <v>25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31">
        <v>2.0</v>
      </c>
      <c r="B10" s="55" t="s">
        <v>163</v>
      </c>
      <c r="C10" s="29" t="s">
        <v>40</v>
      </c>
      <c r="D10" s="29"/>
      <c r="E10" s="30"/>
      <c r="F10" s="30"/>
      <c r="G10" s="30"/>
      <c r="H10" s="30"/>
      <c r="I10" s="30"/>
      <c r="J10" s="30">
        <f t="shared" si="1"/>
        <v>15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31">
        <v>3.0</v>
      </c>
      <c r="B11" s="55" t="s">
        <v>164</v>
      </c>
      <c r="C11" s="29"/>
      <c r="D11" s="30"/>
      <c r="E11" s="29" t="s">
        <v>40</v>
      </c>
      <c r="F11" s="30"/>
      <c r="G11" s="30"/>
      <c r="H11" s="30"/>
      <c r="I11" s="30"/>
      <c r="J11" s="30">
        <f t="shared" si="1"/>
        <v>10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31">
        <v>4.0</v>
      </c>
      <c r="B12" s="55" t="s">
        <v>165</v>
      </c>
      <c r="C12" s="29"/>
      <c r="D12" s="30"/>
      <c r="E12" s="29" t="s">
        <v>40</v>
      </c>
      <c r="F12" s="30"/>
      <c r="G12" s="30"/>
      <c r="H12" s="30"/>
      <c r="I12" s="30"/>
      <c r="J12" s="30">
        <f t="shared" si="1"/>
        <v>10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31">
        <v>5.0</v>
      </c>
      <c r="B13" s="55" t="s">
        <v>166</v>
      </c>
      <c r="C13" s="29" t="s">
        <v>40</v>
      </c>
      <c r="D13" s="30"/>
      <c r="E13" s="29"/>
      <c r="F13" s="30"/>
      <c r="G13" s="30"/>
      <c r="H13" s="30"/>
      <c r="I13" s="30"/>
      <c r="J13" s="30">
        <f t="shared" si="1"/>
        <v>15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1">
        <v>6.0</v>
      </c>
      <c r="B14" s="55" t="s">
        <v>167</v>
      </c>
      <c r="C14" s="29" t="s">
        <v>40</v>
      </c>
      <c r="D14" s="29"/>
      <c r="E14" s="30"/>
      <c r="F14" s="30"/>
      <c r="G14" s="30"/>
      <c r="H14" s="30"/>
      <c r="I14" s="30"/>
      <c r="J14" s="30">
        <f t="shared" si="1"/>
        <v>15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32">
        <v>7.0</v>
      </c>
      <c r="B15" s="55" t="s">
        <v>168</v>
      </c>
      <c r="C15" s="29" t="s">
        <v>40</v>
      </c>
      <c r="D15" s="30"/>
      <c r="E15" s="30"/>
      <c r="F15" s="29" t="s">
        <v>40</v>
      </c>
      <c r="G15" s="30"/>
      <c r="H15" s="30"/>
      <c r="I15" s="30"/>
      <c r="J15" s="30">
        <f t="shared" si="1"/>
        <v>30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C16" s="10"/>
      <c r="D16" s="10"/>
      <c r="E16" s="10"/>
      <c r="F16" s="10"/>
      <c r="G16" s="10"/>
      <c r="H16" s="10"/>
      <c r="I16" s="34" t="s">
        <v>47</v>
      </c>
      <c r="J16" s="35">
        <f>SUM(J7:J15)</f>
        <v>120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36" t="s">
        <v>48</v>
      </c>
      <c r="B18" s="10"/>
      <c r="C18" s="10"/>
      <c r="D18" s="10"/>
      <c r="E18" s="10"/>
      <c r="F18" s="10"/>
      <c r="G18" s="10"/>
      <c r="H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6" t="s">
        <v>169</v>
      </c>
      <c r="B19" s="10"/>
      <c r="C19" s="10"/>
      <c r="D19" s="10"/>
      <c r="E19" s="10"/>
      <c r="F19" s="10"/>
      <c r="G19" s="10"/>
      <c r="H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36" t="s">
        <v>50</v>
      </c>
      <c r="B20" s="10"/>
      <c r="C20" s="10"/>
      <c r="D20" s="10"/>
      <c r="E20" s="10"/>
      <c r="F20" s="10"/>
      <c r="G20" s="10"/>
      <c r="H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43.63"/>
    <col customWidth="1" min="3" max="3" width="15.88"/>
    <col customWidth="1" min="4" max="4" width="29.75"/>
    <col customWidth="1" min="6" max="6" width="55.0"/>
    <col customWidth="1" min="7" max="7" width="50.38"/>
  </cols>
  <sheetData>
    <row r="1" ht="15.75" customHeight="1">
      <c r="A1" s="56" t="s">
        <v>170</v>
      </c>
      <c r="B1" s="57" t="s">
        <v>25</v>
      </c>
      <c r="C1" s="56" t="s">
        <v>171</v>
      </c>
      <c r="D1" s="56" t="s">
        <v>27</v>
      </c>
      <c r="E1" s="58" t="s">
        <v>29</v>
      </c>
      <c r="F1" s="59" t="s">
        <v>38</v>
      </c>
      <c r="G1" s="30" t="s">
        <v>172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61">
        <v>1.0</v>
      </c>
      <c r="B2" s="62" t="s">
        <v>26</v>
      </c>
      <c r="C2" s="63">
        <v>1.0</v>
      </c>
      <c r="D2" s="64" t="s">
        <v>28</v>
      </c>
      <c r="E2" s="65">
        <v>1.0</v>
      </c>
      <c r="F2" s="66" t="s">
        <v>39</v>
      </c>
      <c r="G2" s="61" t="s">
        <v>173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23"/>
      <c r="B3" s="23"/>
      <c r="C3" s="67"/>
      <c r="D3" s="23"/>
      <c r="E3" s="65">
        <v>2.0</v>
      </c>
      <c r="F3" s="66" t="s">
        <v>41</v>
      </c>
      <c r="G3" s="23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23"/>
      <c r="B4" s="23"/>
      <c r="C4" s="67"/>
      <c r="D4" s="23"/>
      <c r="E4" s="65">
        <v>3.0</v>
      </c>
      <c r="F4" s="66" t="s">
        <v>42</v>
      </c>
      <c r="G4" s="23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23"/>
      <c r="B5" s="23"/>
      <c r="C5" s="67"/>
      <c r="D5" s="23"/>
      <c r="E5" s="65">
        <v>4.0</v>
      </c>
      <c r="F5" s="66" t="s">
        <v>43</v>
      </c>
      <c r="G5" s="23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23"/>
      <c r="B6" s="23"/>
      <c r="C6" s="67"/>
      <c r="D6" s="23"/>
      <c r="E6" s="65">
        <v>5.0</v>
      </c>
      <c r="F6" s="66" t="s">
        <v>44</v>
      </c>
      <c r="G6" s="23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23"/>
      <c r="B7" s="23"/>
      <c r="C7" s="67"/>
      <c r="D7" s="23"/>
      <c r="E7" s="65">
        <v>6.0</v>
      </c>
      <c r="F7" s="66" t="s">
        <v>45</v>
      </c>
      <c r="G7" s="23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23"/>
      <c r="B8" s="26"/>
      <c r="C8" s="68"/>
      <c r="D8" s="26"/>
      <c r="E8" s="65">
        <v>7.0</v>
      </c>
      <c r="F8" s="66" t="s">
        <v>46</v>
      </c>
      <c r="G8" s="26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23"/>
      <c r="B9" s="62" t="s">
        <v>51</v>
      </c>
      <c r="C9" s="63">
        <v>2.0</v>
      </c>
      <c r="D9" s="69" t="s">
        <v>52</v>
      </c>
      <c r="E9" s="65">
        <v>1.0</v>
      </c>
      <c r="F9" s="66" t="s">
        <v>53</v>
      </c>
      <c r="G9" s="61" t="s">
        <v>174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23"/>
      <c r="B10" s="23"/>
      <c r="C10" s="67"/>
      <c r="D10" s="23"/>
      <c r="E10" s="65">
        <v>2.0</v>
      </c>
      <c r="F10" s="66" t="s">
        <v>54</v>
      </c>
      <c r="G10" s="23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23"/>
      <c r="B11" s="23"/>
      <c r="C11" s="67"/>
      <c r="D11" s="23"/>
      <c r="E11" s="65">
        <v>3.0</v>
      </c>
      <c r="F11" s="66" t="s">
        <v>55</v>
      </c>
      <c r="G11" s="23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23"/>
      <c r="B12" s="23"/>
      <c r="C12" s="67"/>
      <c r="D12" s="23"/>
      <c r="E12" s="65">
        <v>4.0</v>
      </c>
      <c r="F12" s="66" t="s">
        <v>56</v>
      </c>
      <c r="G12" s="23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23"/>
      <c r="B13" s="23"/>
      <c r="C13" s="67"/>
      <c r="D13" s="23"/>
      <c r="E13" s="65">
        <v>5.0</v>
      </c>
      <c r="F13" s="66" t="s">
        <v>58</v>
      </c>
      <c r="G13" s="23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23"/>
      <c r="B14" s="23"/>
      <c r="C14" s="67"/>
      <c r="D14" s="23"/>
      <c r="E14" s="65">
        <v>6.0</v>
      </c>
      <c r="F14" s="66" t="s">
        <v>59</v>
      </c>
      <c r="G14" s="23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26"/>
      <c r="B15" s="23"/>
      <c r="C15" s="68"/>
      <c r="D15" s="23"/>
      <c r="E15" s="65">
        <v>7.0</v>
      </c>
      <c r="F15" s="66" t="s">
        <v>60</v>
      </c>
      <c r="G15" s="26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61">
        <v>2.0</v>
      </c>
      <c r="B16" s="23"/>
      <c r="C16" s="63">
        <v>3.0</v>
      </c>
      <c r="D16" s="23"/>
      <c r="E16" s="65">
        <v>1.0</v>
      </c>
      <c r="F16" s="66" t="s">
        <v>63</v>
      </c>
      <c r="G16" s="61" t="s">
        <v>175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23"/>
      <c r="B17" s="23"/>
      <c r="C17" s="67"/>
      <c r="D17" s="23"/>
      <c r="E17" s="65">
        <v>2.0</v>
      </c>
      <c r="F17" s="70" t="s">
        <v>64</v>
      </c>
      <c r="G17" s="23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23"/>
      <c r="B18" s="23"/>
      <c r="C18" s="67"/>
      <c r="D18" s="23"/>
      <c r="E18" s="65">
        <v>3.0</v>
      </c>
      <c r="F18" s="70" t="s">
        <v>65</v>
      </c>
      <c r="G18" s="23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23"/>
      <c r="B19" s="23"/>
      <c r="C19" s="67"/>
      <c r="D19" s="23"/>
      <c r="E19" s="65">
        <v>4.0</v>
      </c>
      <c r="F19" s="70" t="s">
        <v>66</v>
      </c>
      <c r="G19" s="23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23"/>
      <c r="B20" s="23"/>
      <c r="C20" s="67"/>
      <c r="D20" s="23"/>
      <c r="E20" s="65">
        <v>5.0</v>
      </c>
      <c r="F20" s="66" t="s">
        <v>63</v>
      </c>
      <c r="G20" s="23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23"/>
      <c r="B21" s="23"/>
      <c r="C21" s="67"/>
      <c r="D21" s="23"/>
      <c r="E21" s="65">
        <v>6.0</v>
      </c>
      <c r="F21" s="66" t="s">
        <v>67</v>
      </c>
      <c r="G21" s="23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23"/>
      <c r="B22" s="23"/>
      <c r="C22" s="68"/>
      <c r="D22" s="23"/>
      <c r="E22" s="65">
        <v>7.0</v>
      </c>
      <c r="F22" s="66" t="s">
        <v>68</v>
      </c>
      <c r="G22" s="23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23"/>
      <c r="B23" s="23"/>
      <c r="C23" s="63">
        <v>4.0</v>
      </c>
      <c r="D23" s="23"/>
      <c r="E23" s="65">
        <v>1.0</v>
      </c>
      <c r="F23" s="59" t="s">
        <v>70</v>
      </c>
      <c r="G23" s="23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23"/>
      <c r="B24" s="23"/>
      <c r="C24" s="67"/>
      <c r="D24" s="23"/>
      <c r="E24" s="65">
        <v>2.0</v>
      </c>
      <c r="F24" s="70" t="s">
        <v>71</v>
      </c>
      <c r="G24" s="23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23"/>
      <c r="B25" s="23"/>
      <c r="C25" s="67"/>
      <c r="D25" s="23"/>
      <c r="E25" s="65">
        <v>3.0</v>
      </c>
      <c r="F25" s="70" t="s">
        <v>72</v>
      </c>
      <c r="G25" s="23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23"/>
      <c r="B26" s="23"/>
      <c r="C26" s="67"/>
      <c r="D26" s="23"/>
      <c r="E26" s="65">
        <v>4.0</v>
      </c>
      <c r="F26" s="70" t="s">
        <v>73</v>
      </c>
      <c r="G26" s="23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23"/>
      <c r="B27" s="23"/>
      <c r="C27" s="67"/>
      <c r="D27" s="23"/>
      <c r="E27" s="65">
        <v>5.0</v>
      </c>
      <c r="F27" s="70" t="s">
        <v>74</v>
      </c>
      <c r="G27" s="23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23"/>
      <c r="B28" s="23"/>
      <c r="C28" s="67"/>
      <c r="D28" s="23"/>
      <c r="E28" s="65">
        <v>6.0</v>
      </c>
      <c r="F28" s="70" t="s">
        <v>75</v>
      </c>
      <c r="G28" s="23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23"/>
      <c r="B29" s="26"/>
      <c r="C29" s="68"/>
      <c r="D29" s="26"/>
      <c r="E29" s="65">
        <v>7.0</v>
      </c>
      <c r="F29" s="70" t="s">
        <v>76</v>
      </c>
      <c r="G29" s="23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23"/>
      <c r="B30" s="62" t="s">
        <v>78</v>
      </c>
      <c r="C30" s="63">
        <v>5.0</v>
      </c>
      <c r="D30" s="69" t="s">
        <v>79</v>
      </c>
      <c r="E30" s="65">
        <v>1.0</v>
      </c>
      <c r="F30" s="59" t="s">
        <v>80</v>
      </c>
      <c r="G30" s="23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23"/>
      <c r="B31" s="23"/>
      <c r="C31" s="67"/>
      <c r="D31" s="23"/>
      <c r="E31" s="65">
        <v>2.0</v>
      </c>
      <c r="F31" s="59" t="s">
        <v>81</v>
      </c>
      <c r="G31" s="23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23"/>
      <c r="B32" s="23"/>
      <c r="C32" s="67"/>
      <c r="D32" s="23"/>
      <c r="E32" s="65">
        <v>3.0</v>
      </c>
      <c r="F32" s="59" t="s">
        <v>82</v>
      </c>
      <c r="G32" s="23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23"/>
      <c r="B33" s="26"/>
      <c r="C33" s="68"/>
      <c r="D33" s="26"/>
      <c r="E33" s="65">
        <v>4.0</v>
      </c>
      <c r="F33" s="59" t="s">
        <v>83</v>
      </c>
      <c r="G33" s="23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23"/>
      <c r="B34" s="71" t="s">
        <v>85</v>
      </c>
      <c r="C34" s="63">
        <v>6.0</v>
      </c>
      <c r="D34" s="64" t="s">
        <v>86</v>
      </c>
      <c r="E34" s="58">
        <v>1.0</v>
      </c>
      <c r="F34" s="4" t="s">
        <v>176</v>
      </c>
      <c r="G34" s="23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23"/>
      <c r="B35" s="23"/>
      <c r="C35" s="67"/>
      <c r="D35" s="23"/>
      <c r="E35" s="58">
        <v>2.0</v>
      </c>
      <c r="F35" s="72" t="s">
        <v>177</v>
      </c>
      <c r="G35" s="23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23"/>
      <c r="B36" s="23"/>
      <c r="C36" s="67"/>
      <c r="D36" s="23"/>
      <c r="E36" s="58">
        <v>3.0</v>
      </c>
      <c r="F36" s="73" t="s">
        <v>178</v>
      </c>
      <c r="G36" s="23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23"/>
      <c r="B37" s="23"/>
      <c r="C37" s="67"/>
      <c r="D37" s="23"/>
      <c r="E37" s="58">
        <v>4.0</v>
      </c>
      <c r="F37" s="73" t="s">
        <v>179</v>
      </c>
      <c r="G37" s="23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26"/>
      <c r="B38" s="23"/>
      <c r="C38" s="67"/>
      <c r="D38" s="23"/>
      <c r="E38" s="58">
        <v>5.0</v>
      </c>
      <c r="F38" s="48" t="s">
        <v>91</v>
      </c>
      <c r="G38" s="26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1">
        <v>3.0</v>
      </c>
      <c r="B39" s="23"/>
      <c r="C39" s="63">
        <v>7.0</v>
      </c>
      <c r="D39" s="23"/>
      <c r="E39" s="58">
        <v>1.0</v>
      </c>
      <c r="F39" s="48" t="s">
        <v>94</v>
      </c>
      <c r="G39" s="61" t="s">
        <v>180</v>
      </c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23"/>
      <c r="B40" s="23"/>
      <c r="C40" s="67"/>
      <c r="D40" s="23"/>
      <c r="E40" s="58">
        <v>2.0</v>
      </c>
      <c r="F40" s="48" t="s">
        <v>95</v>
      </c>
      <c r="G40" s="23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23"/>
      <c r="B41" s="23"/>
      <c r="C41" s="67"/>
      <c r="D41" s="23"/>
      <c r="E41" s="58">
        <v>3.0</v>
      </c>
      <c r="F41" s="48" t="s">
        <v>96</v>
      </c>
      <c r="G41" s="23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23"/>
      <c r="B42" s="23"/>
      <c r="C42" s="67"/>
      <c r="D42" s="23"/>
      <c r="E42" s="58">
        <v>4.0</v>
      </c>
      <c r="F42" s="48" t="s">
        <v>97</v>
      </c>
      <c r="G42" s="23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23"/>
      <c r="B43" s="23"/>
      <c r="C43" s="67"/>
      <c r="D43" s="23"/>
      <c r="E43" s="58">
        <v>5.0</v>
      </c>
      <c r="F43" s="48" t="s">
        <v>98</v>
      </c>
      <c r="G43" s="23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23"/>
      <c r="B44" s="23"/>
      <c r="C44" s="63">
        <v>8.0</v>
      </c>
      <c r="D44" s="23"/>
      <c r="E44" s="58">
        <v>1.0</v>
      </c>
      <c r="F44" s="48" t="s">
        <v>100</v>
      </c>
      <c r="G44" s="23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23"/>
      <c r="B45" s="23"/>
      <c r="C45" s="67"/>
      <c r="D45" s="23"/>
      <c r="E45" s="58">
        <v>2.0</v>
      </c>
      <c r="F45" s="48" t="s">
        <v>101</v>
      </c>
      <c r="G45" s="23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23"/>
      <c r="B46" s="23"/>
      <c r="C46" s="67"/>
      <c r="D46" s="23"/>
      <c r="E46" s="58">
        <v>3.0</v>
      </c>
      <c r="F46" s="48" t="s">
        <v>102</v>
      </c>
      <c r="G46" s="23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23"/>
      <c r="B47" s="26"/>
      <c r="C47" s="67"/>
      <c r="D47" s="26"/>
      <c r="E47" s="58">
        <v>4.0</v>
      </c>
      <c r="F47" s="48" t="s">
        <v>103</v>
      </c>
      <c r="G47" s="23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23"/>
      <c r="B48" s="62" t="s">
        <v>105</v>
      </c>
      <c r="C48" s="63">
        <v>9.0</v>
      </c>
      <c r="D48" s="64" t="s">
        <v>106</v>
      </c>
      <c r="E48" s="58">
        <v>1.0</v>
      </c>
      <c r="F48" s="5" t="s">
        <v>107</v>
      </c>
      <c r="G48" s="23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23"/>
      <c r="B49" s="23"/>
      <c r="C49" s="67"/>
      <c r="D49" s="23"/>
      <c r="E49" s="74">
        <v>2.0</v>
      </c>
      <c r="F49" s="73" t="s">
        <v>108</v>
      </c>
      <c r="G49" s="23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23"/>
      <c r="B50" s="23"/>
      <c r="C50" s="67"/>
      <c r="D50" s="23"/>
      <c r="E50" s="74">
        <v>3.0</v>
      </c>
      <c r="F50" s="73" t="s">
        <v>109</v>
      </c>
      <c r="G50" s="23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23"/>
      <c r="B51" s="23"/>
      <c r="C51" s="67"/>
      <c r="D51" s="23"/>
      <c r="E51" s="74">
        <v>4.0</v>
      </c>
      <c r="F51" s="73" t="s">
        <v>110</v>
      </c>
      <c r="G51" s="23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23"/>
      <c r="B52" s="23"/>
      <c r="C52" s="67"/>
      <c r="D52" s="23"/>
      <c r="E52" s="74">
        <v>5.0</v>
      </c>
      <c r="F52" s="73" t="s">
        <v>111</v>
      </c>
      <c r="G52" s="23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23"/>
      <c r="B53" s="23"/>
      <c r="C53" s="67"/>
      <c r="D53" s="23"/>
      <c r="E53" s="74">
        <v>6.0</v>
      </c>
      <c r="F53" s="73" t="s">
        <v>112</v>
      </c>
      <c r="G53" s="23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23"/>
      <c r="B54" s="23"/>
      <c r="C54" s="67"/>
      <c r="D54" s="26"/>
      <c r="E54" s="74">
        <v>7.0</v>
      </c>
      <c r="F54" s="73" t="s">
        <v>113</v>
      </c>
      <c r="G54" s="23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23"/>
      <c r="B55" s="23"/>
      <c r="C55" s="63">
        <v>10.0</v>
      </c>
      <c r="D55" s="64" t="s">
        <v>115</v>
      </c>
      <c r="E55" s="58">
        <v>1.0</v>
      </c>
      <c r="F55" s="73" t="s">
        <v>116</v>
      </c>
      <c r="G55" s="23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23"/>
      <c r="B56" s="23"/>
      <c r="C56" s="67"/>
      <c r="D56" s="23"/>
      <c r="E56" s="74">
        <v>2.0</v>
      </c>
      <c r="F56" s="73" t="s">
        <v>117</v>
      </c>
      <c r="G56" s="23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23"/>
      <c r="B57" s="23"/>
      <c r="C57" s="67"/>
      <c r="D57" s="23"/>
      <c r="E57" s="74">
        <v>3.0</v>
      </c>
      <c r="F57" s="73" t="s">
        <v>109</v>
      </c>
      <c r="G57" s="23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23"/>
      <c r="B58" s="23"/>
      <c r="C58" s="67"/>
      <c r="D58" s="23"/>
      <c r="E58" s="74">
        <v>4.0</v>
      </c>
      <c r="F58" s="73" t="s">
        <v>118</v>
      </c>
      <c r="G58" s="23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23"/>
      <c r="B59" s="23"/>
      <c r="C59" s="67"/>
      <c r="D59" s="23"/>
      <c r="E59" s="74">
        <v>5.0</v>
      </c>
      <c r="F59" s="73" t="s">
        <v>119</v>
      </c>
      <c r="G59" s="23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23"/>
      <c r="B60" s="23"/>
      <c r="C60" s="67"/>
      <c r="D60" s="23"/>
      <c r="E60" s="74">
        <v>6.0</v>
      </c>
      <c r="F60" s="73" t="s">
        <v>120</v>
      </c>
      <c r="G60" s="23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23"/>
      <c r="B61" s="26"/>
      <c r="C61" s="68"/>
      <c r="D61" s="26"/>
      <c r="E61" s="74">
        <v>7.0</v>
      </c>
      <c r="F61" s="73" t="s">
        <v>121</v>
      </c>
      <c r="G61" s="23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23"/>
      <c r="B62" s="75" t="s">
        <v>123</v>
      </c>
      <c r="C62" s="63">
        <v>11.0</v>
      </c>
      <c r="D62" s="69" t="s">
        <v>124</v>
      </c>
      <c r="E62" s="58">
        <v>1.0</v>
      </c>
      <c r="F62" s="59" t="s">
        <v>124</v>
      </c>
      <c r="G62" s="23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23"/>
      <c r="B63" s="23"/>
      <c r="C63" s="67"/>
      <c r="D63" s="23"/>
      <c r="E63" s="58">
        <v>2.0</v>
      </c>
      <c r="F63" s="59" t="s">
        <v>125</v>
      </c>
      <c r="G63" s="23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23"/>
      <c r="B64" s="23"/>
      <c r="C64" s="67"/>
      <c r="D64" s="23"/>
      <c r="E64" s="58">
        <v>3.0</v>
      </c>
      <c r="F64" s="59" t="s">
        <v>126</v>
      </c>
      <c r="G64" s="23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23"/>
      <c r="B65" s="23"/>
      <c r="C65" s="67"/>
      <c r="D65" s="23"/>
      <c r="E65" s="74">
        <v>4.0</v>
      </c>
      <c r="F65" s="4" t="s">
        <v>127</v>
      </c>
      <c r="G65" s="2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23"/>
      <c r="B66" s="23"/>
      <c r="C66" s="67"/>
      <c r="D66" s="23"/>
      <c r="E66" s="74">
        <v>5.0</v>
      </c>
      <c r="F66" s="4" t="s">
        <v>128</v>
      </c>
      <c r="G66" s="23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23"/>
      <c r="B67" s="23"/>
      <c r="C67" s="67"/>
      <c r="D67" s="23"/>
      <c r="E67" s="74">
        <v>6.0</v>
      </c>
      <c r="F67" s="59" t="s">
        <v>129</v>
      </c>
      <c r="G67" s="23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26"/>
      <c r="B68" s="26"/>
      <c r="C68" s="68"/>
      <c r="D68" s="26"/>
      <c r="E68" s="74">
        <v>7.0</v>
      </c>
      <c r="F68" s="59" t="s">
        <v>130</v>
      </c>
      <c r="G68" s="2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1">
        <v>4.0</v>
      </c>
      <c r="B69" s="71" t="s">
        <v>181</v>
      </c>
      <c r="C69" s="63">
        <v>12.0</v>
      </c>
      <c r="D69" s="64" t="s">
        <v>182</v>
      </c>
      <c r="E69" s="58">
        <v>1.0</v>
      </c>
      <c r="F69" s="48" t="s">
        <v>135</v>
      </c>
      <c r="G69" s="23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23"/>
      <c r="B70" s="23"/>
      <c r="C70" s="67"/>
      <c r="D70" s="23"/>
      <c r="E70" s="58">
        <v>2.0</v>
      </c>
      <c r="F70" s="48" t="s">
        <v>136</v>
      </c>
      <c r="G70" s="23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23"/>
      <c r="B71" s="23"/>
      <c r="C71" s="67"/>
      <c r="D71" s="23"/>
      <c r="E71" s="58">
        <v>3.0</v>
      </c>
      <c r="F71" s="48" t="s">
        <v>137</v>
      </c>
      <c r="G71" s="23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23"/>
      <c r="B72" s="23"/>
      <c r="C72" s="67"/>
      <c r="D72" s="23"/>
      <c r="E72" s="58">
        <v>4.0</v>
      </c>
      <c r="F72" s="48" t="s">
        <v>138</v>
      </c>
      <c r="G72" s="23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23"/>
      <c r="B73" s="23"/>
      <c r="C73" s="67"/>
      <c r="D73" s="23"/>
      <c r="E73" s="58">
        <v>5.0</v>
      </c>
      <c r="F73" s="4" t="s">
        <v>139</v>
      </c>
      <c r="G73" s="23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23"/>
      <c r="B74" s="23"/>
      <c r="C74" s="67"/>
      <c r="D74" s="23"/>
      <c r="E74" s="76">
        <v>6.0</v>
      </c>
      <c r="F74" s="4" t="s">
        <v>140</v>
      </c>
      <c r="G74" s="23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23"/>
      <c r="B75" s="26"/>
      <c r="C75" s="67"/>
      <c r="D75" s="23"/>
      <c r="E75" s="76">
        <v>7.0</v>
      </c>
      <c r="F75" s="4" t="s">
        <v>141</v>
      </c>
      <c r="G75" s="23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23"/>
      <c r="B76" s="71" t="s">
        <v>143</v>
      </c>
      <c r="C76" s="63">
        <v>13.0</v>
      </c>
      <c r="D76" s="77" t="s">
        <v>144</v>
      </c>
      <c r="E76" s="65">
        <v>1.0</v>
      </c>
      <c r="F76" s="4" t="s">
        <v>145</v>
      </c>
      <c r="G76" s="23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23"/>
      <c r="B77" s="23"/>
      <c r="C77" s="67"/>
      <c r="D77" s="67"/>
      <c r="E77" s="65">
        <v>2.0</v>
      </c>
      <c r="F77" s="4" t="s">
        <v>146</v>
      </c>
      <c r="G77" s="23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0" customHeight="1">
      <c r="A78" s="23"/>
      <c r="B78" s="23"/>
      <c r="C78" s="67"/>
      <c r="D78" s="67"/>
      <c r="E78" s="65">
        <v>3.0</v>
      </c>
      <c r="F78" s="4" t="s">
        <v>147</v>
      </c>
      <c r="G78" s="23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23"/>
      <c r="B79" s="23"/>
      <c r="C79" s="67"/>
      <c r="D79" s="67"/>
      <c r="E79" s="76">
        <v>4.0</v>
      </c>
      <c r="F79" s="4" t="s">
        <v>148</v>
      </c>
      <c r="G79" s="23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23"/>
      <c r="B80" s="23"/>
      <c r="C80" s="67"/>
      <c r="D80" s="67"/>
      <c r="E80" s="76">
        <v>5.0</v>
      </c>
      <c r="F80" s="4" t="s">
        <v>149</v>
      </c>
      <c r="G80" s="23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23"/>
      <c r="B81" s="23"/>
      <c r="C81" s="67"/>
      <c r="D81" s="67"/>
      <c r="E81" s="76">
        <v>6.0</v>
      </c>
      <c r="F81" s="4" t="s">
        <v>150</v>
      </c>
      <c r="G81" s="23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23"/>
      <c r="B82" s="23"/>
      <c r="C82" s="68"/>
      <c r="D82" s="67"/>
      <c r="E82" s="76">
        <v>7.0</v>
      </c>
      <c r="F82" s="4" t="s">
        <v>151</v>
      </c>
      <c r="G82" s="23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23"/>
      <c r="B83" s="23"/>
      <c r="C83" s="63">
        <v>14.0</v>
      </c>
      <c r="D83" s="78" t="s">
        <v>153</v>
      </c>
      <c r="E83" s="65">
        <v>1.0</v>
      </c>
      <c r="F83" s="4" t="s">
        <v>154</v>
      </c>
      <c r="G83" s="23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23"/>
      <c r="B84" s="23"/>
      <c r="C84" s="67"/>
      <c r="D84" s="23"/>
      <c r="E84" s="65">
        <v>2.0</v>
      </c>
      <c r="F84" s="4" t="s">
        <v>155</v>
      </c>
      <c r="G84" s="23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23"/>
      <c r="B85" s="23"/>
      <c r="C85" s="67"/>
      <c r="D85" s="23"/>
      <c r="E85" s="63">
        <v>3.0</v>
      </c>
      <c r="F85" s="4" t="s">
        <v>156</v>
      </c>
      <c r="G85" s="23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23"/>
      <c r="B86" s="23"/>
      <c r="C86" s="67"/>
      <c r="D86" s="23"/>
      <c r="E86" s="79">
        <v>4.0</v>
      </c>
      <c r="F86" s="4" t="s">
        <v>157</v>
      </c>
      <c r="G86" s="23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23"/>
      <c r="B87" s="23"/>
      <c r="C87" s="67"/>
      <c r="D87" s="23"/>
      <c r="E87" s="79">
        <v>5.0</v>
      </c>
      <c r="F87" s="4" t="s">
        <v>158</v>
      </c>
      <c r="G87" s="23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23"/>
      <c r="B88" s="23"/>
      <c r="C88" s="68"/>
      <c r="D88" s="23"/>
      <c r="E88" s="79">
        <v>6.0</v>
      </c>
      <c r="F88" s="4" t="s">
        <v>159</v>
      </c>
      <c r="G88" s="23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23"/>
      <c r="B89" s="23"/>
      <c r="C89" s="63">
        <v>15.0</v>
      </c>
      <c r="D89" s="77" t="s">
        <v>161</v>
      </c>
      <c r="E89" s="58">
        <v>1.0</v>
      </c>
      <c r="F89" s="4" t="s">
        <v>162</v>
      </c>
      <c r="G89" s="23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23"/>
      <c r="B90" s="23"/>
      <c r="C90" s="67"/>
      <c r="D90" s="67"/>
      <c r="E90" s="58">
        <v>2.0</v>
      </c>
      <c r="F90" s="4" t="s">
        <v>163</v>
      </c>
      <c r="G90" s="23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23"/>
      <c r="B91" s="23"/>
      <c r="C91" s="67"/>
      <c r="D91" s="67"/>
      <c r="E91" s="58">
        <v>3.0</v>
      </c>
      <c r="F91" s="4" t="s">
        <v>164</v>
      </c>
      <c r="G91" s="23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23"/>
      <c r="B92" s="23"/>
      <c r="C92" s="67"/>
      <c r="D92" s="67"/>
      <c r="E92" s="74">
        <v>4.0</v>
      </c>
      <c r="F92" s="4" t="s">
        <v>165</v>
      </c>
      <c r="G92" s="23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23"/>
      <c r="B93" s="23"/>
      <c r="C93" s="67"/>
      <c r="D93" s="67"/>
      <c r="E93" s="74">
        <v>5.0</v>
      </c>
      <c r="F93" s="4" t="s">
        <v>166</v>
      </c>
      <c r="G93" s="23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23"/>
      <c r="B94" s="23"/>
      <c r="C94" s="67"/>
      <c r="D94" s="67"/>
      <c r="E94" s="74">
        <v>6.0</v>
      </c>
      <c r="F94" s="80" t="s">
        <v>167</v>
      </c>
      <c r="G94" s="23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26"/>
      <c r="B95" s="26"/>
      <c r="C95" s="68"/>
      <c r="D95" s="68"/>
      <c r="E95" s="74">
        <v>7.0</v>
      </c>
      <c r="F95" s="80" t="s">
        <v>168</v>
      </c>
      <c r="G95" s="26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"/>
      <c r="C96" s="60"/>
      <c r="D96" s="60"/>
      <c r="E96" s="81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"/>
      <c r="C97" s="60"/>
      <c r="D97" s="60"/>
      <c r="E97" s="81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"/>
      <c r="C98" s="60"/>
      <c r="D98" s="60"/>
      <c r="E98" s="81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"/>
      <c r="C99" s="60"/>
      <c r="D99" s="60"/>
      <c r="E99" s="81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"/>
      <c r="C100" s="60"/>
      <c r="D100" s="60"/>
      <c r="E100" s="81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"/>
      <c r="C101" s="60"/>
      <c r="D101" s="60"/>
      <c r="E101" s="81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"/>
      <c r="C102" s="60"/>
      <c r="D102" s="60"/>
      <c r="E102" s="81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"/>
      <c r="C103" s="60"/>
      <c r="D103" s="60"/>
      <c r="E103" s="81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"/>
      <c r="C104" s="60"/>
      <c r="D104" s="60"/>
      <c r="E104" s="81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"/>
      <c r="C105" s="60"/>
      <c r="D105" s="60"/>
      <c r="E105" s="81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"/>
      <c r="C106" s="60"/>
      <c r="D106" s="60"/>
      <c r="E106" s="81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"/>
      <c r="C107" s="60"/>
      <c r="D107" s="60"/>
      <c r="E107" s="81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"/>
      <c r="C108" s="60"/>
      <c r="D108" s="60"/>
      <c r="E108" s="81"/>
      <c r="F108" s="6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"/>
      <c r="C109" s="60"/>
      <c r="D109" s="60"/>
      <c r="E109" s="81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"/>
      <c r="C110" s="60"/>
      <c r="D110" s="60"/>
      <c r="E110" s="81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"/>
      <c r="C111" s="60"/>
      <c r="D111" s="60"/>
      <c r="E111" s="81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"/>
      <c r="C112" s="60"/>
      <c r="D112" s="60"/>
      <c r="E112" s="81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"/>
      <c r="C113" s="60"/>
      <c r="D113" s="60"/>
      <c r="E113" s="81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"/>
      <c r="C114" s="60"/>
      <c r="D114" s="60"/>
      <c r="E114" s="81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"/>
      <c r="C115" s="60"/>
      <c r="D115" s="60"/>
      <c r="E115" s="81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"/>
      <c r="C116" s="60"/>
      <c r="D116" s="60"/>
      <c r="E116" s="81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"/>
      <c r="C117" s="60"/>
      <c r="D117" s="60"/>
      <c r="E117" s="81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"/>
      <c r="C118" s="60"/>
      <c r="D118" s="60"/>
      <c r="E118" s="81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"/>
      <c r="C119" s="60"/>
      <c r="D119" s="60"/>
      <c r="E119" s="81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"/>
      <c r="C120" s="60"/>
      <c r="D120" s="60"/>
      <c r="E120" s="81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"/>
      <c r="C121" s="60"/>
      <c r="D121" s="60"/>
      <c r="E121" s="81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"/>
      <c r="C122" s="60"/>
      <c r="D122" s="60"/>
      <c r="E122" s="81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"/>
      <c r="C123" s="60"/>
      <c r="D123" s="60"/>
      <c r="E123" s="81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"/>
      <c r="C124" s="60"/>
      <c r="D124" s="60"/>
      <c r="E124" s="81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"/>
      <c r="C125" s="60"/>
      <c r="D125" s="60"/>
      <c r="E125" s="81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"/>
      <c r="C126" s="60"/>
      <c r="D126" s="60"/>
      <c r="E126" s="81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"/>
      <c r="C127" s="60"/>
      <c r="D127" s="60"/>
      <c r="E127" s="81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"/>
      <c r="C128" s="60"/>
      <c r="D128" s="60"/>
      <c r="E128" s="81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"/>
      <c r="C129" s="60"/>
      <c r="D129" s="60"/>
      <c r="E129" s="81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"/>
      <c r="C130" s="60"/>
      <c r="D130" s="60"/>
      <c r="E130" s="81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"/>
      <c r="C131" s="60"/>
      <c r="D131" s="60"/>
      <c r="E131" s="81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"/>
      <c r="C132" s="60"/>
      <c r="D132" s="60"/>
      <c r="E132" s="81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"/>
      <c r="C133" s="60"/>
      <c r="D133" s="60"/>
      <c r="E133" s="81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"/>
      <c r="C134" s="60"/>
      <c r="D134" s="60"/>
      <c r="E134" s="81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"/>
      <c r="C135" s="60"/>
      <c r="D135" s="60"/>
      <c r="E135" s="81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"/>
      <c r="C136" s="60"/>
      <c r="D136" s="60"/>
      <c r="E136" s="81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"/>
      <c r="C137" s="60"/>
      <c r="D137" s="60"/>
      <c r="E137" s="81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"/>
      <c r="C138" s="60"/>
      <c r="D138" s="60"/>
      <c r="E138" s="81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"/>
      <c r="C139" s="60"/>
      <c r="D139" s="60"/>
      <c r="E139" s="81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"/>
      <c r="C140" s="60"/>
      <c r="D140" s="60"/>
      <c r="E140" s="81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"/>
      <c r="C141" s="60"/>
      <c r="D141" s="60"/>
      <c r="E141" s="81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"/>
      <c r="C142" s="60"/>
      <c r="D142" s="60"/>
      <c r="E142" s="81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"/>
      <c r="C143" s="60"/>
      <c r="D143" s="60"/>
      <c r="E143" s="81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"/>
      <c r="C144" s="60"/>
      <c r="D144" s="60"/>
      <c r="E144" s="81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"/>
      <c r="C145" s="60"/>
      <c r="D145" s="60"/>
      <c r="E145" s="81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"/>
      <c r="C146" s="60"/>
      <c r="D146" s="60"/>
      <c r="E146" s="81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"/>
      <c r="C147" s="60"/>
      <c r="D147" s="60"/>
      <c r="E147" s="81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"/>
      <c r="C148" s="60"/>
      <c r="D148" s="60"/>
      <c r="E148" s="81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"/>
      <c r="C149" s="60"/>
      <c r="D149" s="60"/>
      <c r="E149" s="81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"/>
      <c r="C150" s="60"/>
      <c r="D150" s="60"/>
      <c r="E150" s="81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"/>
      <c r="C151" s="60"/>
      <c r="D151" s="60"/>
      <c r="E151" s="81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"/>
      <c r="C152" s="60"/>
      <c r="D152" s="60"/>
      <c r="E152" s="81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"/>
      <c r="C153" s="60"/>
      <c r="D153" s="60"/>
      <c r="E153" s="81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"/>
      <c r="C154" s="60"/>
      <c r="D154" s="60"/>
      <c r="E154" s="81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"/>
      <c r="C155" s="60"/>
      <c r="D155" s="60"/>
      <c r="E155" s="81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"/>
      <c r="C156" s="60"/>
      <c r="D156" s="60"/>
      <c r="E156" s="81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"/>
      <c r="C157" s="60"/>
      <c r="D157" s="60"/>
      <c r="E157" s="81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"/>
      <c r="C158" s="60"/>
      <c r="D158" s="60"/>
      <c r="E158" s="81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"/>
      <c r="C159" s="60"/>
      <c r="D159" s="60"/>
      <c r="E159" s="81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"/>
      <c r="C160" s="60"/>
      <c r="D160" s="60"/>
      <c r="E160" s="81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"/>
      <c r="C161" s="60"/>
      <c r="D161" s="60"/>
      <c r="E161" s="81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"/>
      <c r="C162" s="60"/>
      <c r="D162" s="60"/>
      <c r="E162" s="81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"/>
      <c r="C163" s="60"/>
      <c r="D163" s="60"/>
      <c r="E163" s="81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"/>
      <c r="C164" s="60"/>
      <c r="D164" s="60"/>
      <c r="E164" s="81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"/>
      <c r="C165" s="60"/>
      <c r="D165" s="60"/>
      <c r="E165" s="81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"/>
      <c r="C166" s="60"/>
      <c r="D166" s="60"/>
      <c r="E166" s="81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"/>
      <c r="C167" s="60"/>
      <c r="D167" s="60"/>
      <c r="E167" s="81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"/>
      <c r="C168" s="60"/>
      <c r="D168" s="60"/>
      <c r="E168" s="81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"/>
      <c r="C169" s="60"/>
      <c r="D169" s="60"/>
      <c r="E169" s="81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"/>
      <c r="C170" s="60"/>
      <c r="D170" s="60"/>
      <c r="E170" s="81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"/>
      <c r="C171" s="60"/>
      <c r="D171" s="60"/>
      <c r="E171" s="81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"/>
      <c r="C172" s="60"/>
      <c r="D172" s="60"/>
      <c r="E172" s="81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"/>
      <c r="C173" s="60"/>
      <c r="D173" s="60"/>
      <c r="E173" s="81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"/>
      <c r="C174" s="60"/>
      <c r="D174" s="60"/>
      <c r="E174" s="81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"/>
      <c r="C175" s="60"/>
      <c r="D175" s="60"/>
      <c r="E175" s="81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"/>
      <c r="C176" s="60"/>
      <c r="D176" s="60"/>
      <c r="E176" s="81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"/>
      <c r="C177" s="60"/>
      <c r="D177" s="60"/>
      <c r="E177" s="81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"/>
      <c r="C178" s="60"/>
      <c r="D178" s="60"/>
      <c r="E178" s="81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"/>
      <c r="C179" s="60"/>
      <c r="D179" s="60"/>
      <c r="E179" s="81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"/>
      <c r="C180" s="60"/>
      <c r="D180" s="60"/>
      <c r="E180" s="81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"/>
      <c r="C181" s="60"/>
      <c r="D181" s="60"/>
      <c r="E181" s="81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"/>
      <c r="C182" s="60"/>
      <c r="D182" s="60"/>
      <c r="E182" s="81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"/>
      <c r="C183" s="60"/>
      <c r="D183" s="60"/>
      <c r="E183" s="81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"/>
      <c r="C184" s="60"/>
      <c r="D184" s="60"/>
      <c r="E184" s="81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"/>
      <c r="C185" s="60"/>
      <c r="D185" s="60"/>
      <c r="E185" s="81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"/>
      <c r="C186" s="60"/>
      <c r="D186" s="60"/>
      <c r="E186" s="81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"/>
      <c r="C187" s="60"/>
      <c r="D187" s="60"/>
      <c r="E187" s="81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"/>
      <c r="C188" s="60"/>
      <c r="D188" s="60"/>
      <c r="E188" s="81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"/>
      <c r="C189" s="60"/>
      <c r="D189" s="60"/>
      <c r="E189" s="81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"/>
      <c r="C190" s="60"/>
      <c r="D190" s="60"/>
      <c r="E190" s="81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"/>
      <c r="C191" s="60"/>
      <c r="D191" s="60"/>
      <c r="E191" s="81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"/>
      <c r="C192" s="60"/>
      <c r="D192" s="60"/>
      <c r="E192" s="81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"/>
      <c r="C193" s="60"/>
      <c r="D193" s="60"/>
      <c r="E193" s="81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"/>
      <c r="C194" s="60"/>
      <c r="D194" s="60"/>
      <c r="E194" s="81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"/>
      <c r="C195" s="60"/>
      <c r="D195" s="60"/>
      <c r="E195" s="81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"/>
      <c r="C196" s="60"/>
      <c r="D196" s="60"/>
      <c r="E196" s="81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"/>
      <c r="C197" s="60"/>
      <c r="D197" s="60"/>
      <c r="E197" s="81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"/>
      <c r="C198" s="60"/>
      <c r="D198" s="60"/>
      <c r="E198" s="81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"/>
      <c r="C199" s="60"/>
      <c r="D199" s="60"/>
      <c r="E199" s="81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"/>
      <c r="C200" s="60"/>
      <c r="D200" s="60"/>
      <c r="E200" s="81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"/>
      <c r="C201" s="60"/>
      <c r="D201" s="60"/>
      <c r="E201" s="81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"/>
      <c r="C202" s="60"/>
      <c r="D202" s="60"/>
      <c r="E202" s="81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"/>
      <c r="C203" s="60"/>
      <c r="D203" s="60"/>
      <c r="E203" s="81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"/>
      <c r="C204" s="60"/>
      <c r="D204" s="60"/>
      <c r="E204" s="81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"/>
      <c r="C205" s="60"/>
      <c r="D205" s="60"/>
      <c r="E205" s="81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"/>
      <c r="C206" s="60"/>
      <c r="D206" s="60"/>
      <c r="E206" s="81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"/>
      <c r="C207" s="60"/>
      <c r="D207" s="60"/>
      <c r="E207" s="81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"/>
      <c r="C208" s="60"/>
      <c r="D208" s="60"/>
      <c r="E208" s="81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"/>
      <c r="C209" s="60"/>
      <c r="D209" s="60"/>
      <c r="E209" s="81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"/>
      <c r="C210" s="60"/>
      <c r="D210" s="60"/>
      <c r="E210" s="81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"/>
      <c r="C211" s="60"/>
      <c r="D211" s="60"/>
      <c r="E211" s="81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"/>
      <c r="C212" s="60"/>
      <c r="D212" s="60"/>
      <c r="E212" s="81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"/>
      <c r="C213" s="60"/>
      <c r="D213" s="60"/>
      <c r="E213" s="81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"/>
      <c r="C214" s="60"/>
      <c r="D214" s="60"/>
      <c r="E214" s="81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"/>
      <c r="C215" s="60"/>
      <c r="D215" s="60"/>
      <c r="E215" s="81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"/>
      <c r="C216" s="60"/>
      <c r="D216" s="60"/>
      <c r="E216" s="81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"/>
      <c r="C217" s="60"/>
      <c r="D217" s="60"/>
      <c r="E217" s="81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"/>
      <c r="C218" s="60"/>
      <c r="D218" s="60"/>
      <c r="E218" s="81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"/>
      <c r="C219" s="60"/>
      <c r="D219" s="60"/>
      <c r="E219" s="81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"/>
      <c r="C220" s="60"/>
      <c r="D220" s="60"/>
      <c r="E220" s="81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"/>
      <c r="C221" s="60"/>
      <c r="D221" s="60"/>
      <c r="E221" s="81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"/>
      <c r="C222" s="60"/>
      <c r="D222" s="60"/>
      <c r="E222" s="81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"/>
      <c r="C223" s="60"/>
      <c r="D223" s="60"/>
      <c r="E223" s="81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"/>
      <c r="C224" s="60"/>
      <c r="D224" s="60"/>
      <c r="E224" s="81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"/>
      <c r="C225" s="60"/>
      <c r="D225" s="60"/>
      <c r="E225" s="81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"/>
      <c r="C226" s="60"/>
      <c r="D226" s="60"/>
      <c r="E226" s="81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"/>
      <c r="C227" s="60"/>
      <c r="D227" s="60"/>
      <c r="E227" s="81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"/>
      <c r="C228" s="60"/>
      <c r="D228" s="60"/>
      <c r="E228" s="81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"/>
      <c r="C229" s="60"/>
      <c r="D229" s="60"/>
      <c r="E229" s="81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"/>
      <c r="C230" s="60"/>
      <c r="D230" s="60"/>
      <c r="E230" s="81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"/>
      <c r="C231" s="60"/>
      <c r="D231" s="60"/>
      <c r="E231" s="81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"/>
      <c r="C232" s="60"/>
      <c r="D232" s="60"/>
      <c r="E232" s="81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"/>
      <c r="C233" s="60"/>
      <c r="D233" s="60"/>
      <c r="E233" s="81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"/>
      <c r="C234" s="60"/>
      <c r="D234" s="60"/>
      <c r="E234" s="81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"/>
      <c r="C235" s="60"/>
      <c r="D235" s="60"/>
      <c r="E235" s="81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"/>
      <c r="C236" s="60"/>
      <c r="D236" s="60"/>
      <c r="E236" s="81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"/>
      <c r="C237" s="60"/>
      <c r="D237" s="60"/>
      <c r="E237" s="81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"/>
      <c r="C238" s="60"/>
      <c r="D238" s="60"/>
      <c r="E238" s="81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"/>
      <c r="C239" s="60"/>
      <c r="D239" s="60"/>
      <c r="E239" s="81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"/>
      <c r="C240" s="60"/>
      <c r="D240" s="60"/>
      <c r="E240" s="81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"/>
      <c r="C241" s="60"/>
      <c r="D241" s="60"/>
      <c r="E241" s="81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"/>
      <c r="C242" s="60"/>
      <c r="D242" s="60"/>
      <c r="E242" s="81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"/>
      <c r="C243" s="60"/>
      <c r="D243" s="60"/>
      <c r="E243" s="81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"/>
      <c r="C244" s="60"/>
      <c r="D244" s="60"/>
      <c r="E244" s="81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"/>
      <c r="C245" s="60"/>
      <c r="D245" s="60"/>
      <c r="E245" s="81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"/>
      <c r="C246" s="60"/>
      <c r="D246" s="60"/>
      <c r="E246" s="81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"/>
      <c r="C247" s="60"/>
      <c r="D247" s="60"/>
      <c r="E247" s="81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"/>
      <c r="C248" s="60"/>
      <c r="D248" s="60"/>
      <c r="E248" s="81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"/>
      <c r="C249" s="60"/>
      <c r="D249" s="60"/>
      <c r="E249" s="81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"/>
      <c r="C250" s="60"/>
      <c r="D250" s="60"/>
      <c r="E250" s="81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"/>
      <c r="C251" s="60"/>
      <c r="D251" s="60"/>
      <c r="E251" s="81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"/>
      <c r="C252" s="60"/>
      <c r="D252" s="60"/>
      <c r="E252" s="81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"/>
      <c r="C253" s="60"/>
      <c r="D253" s="60"/>
      <c r="E253" s="81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"/>
      <c r="C254" s="60"/>
      <c r="D254" s="60"/>
      <c r="E254" s="81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"/>
      <c r="C255" s="60"/>
      <c r="D255" s="60"/>
      <c r="E255" s="81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"/>
      <c r="C256" s="60"/>
      <c r="D256" s="60"/>
      <c r="E256" s="81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"/>
      <c r="C257" s="60"/>
      <c r="D257" s="60"/>
      <c r="E257" s="81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"/>
      <c r="C258" s="60"/>
      <c r="D258" s="60"/>
      <c r="E258" s="81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"/>
      <c r="C259" s="60"/>
      <c r="D259" s="60"/>
      <c r="E259" s="81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"/>
      <c r="C260" s="60"/>
      <c r="D260" s="60"/>
      <c r="E260" s="81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"/>
      <c r="C261" s="60"/>
      <c r="D261" s="60"/>
      <c r="E261" s="81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"/>
      <c r="C262" s="60"/>
      <c r="D262" s="60"/>
      <c r="E262" s="81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"/>
      <c r="C263" s="60"/>
      <c r="D263" s="60"/>
      <c r="E263" s="81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"/>
      <c r="C264" s="60"/>
      <c r="D264" s="60"/>
      <c r="E264" s="81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"/>
      <c r="C265" s="60"/>
      <c r="D265" s="60"/>
      <c r="E265" s="81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"/>
      <c r="C266" s="60"/>
      <c r="D266" s="60"/>
      <c r="E266" s="81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"/>
      <c r="C267" s="60"/>
      <c r="D267" s="60"/>
      <c r="E267" s="81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"/>
      <c r="C268" s="60"/>
      <c r="D268" s="60"/>
      <c r="E268" s="81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"/>
      <c r="C269" s="60"/>
      <c r="D269" s="60"/>
      <c r="E269" s="81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"/>
      <c r="C270" s="60"/>
      <c r="D270" s="60"/>
      <c r="E270" s="81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"/>
      <c r="C271" s="60"/>
      <c r="D271" s="60"/>
      <c r="E271" s="81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"/>
      <c r="C272" s="60"/>
      <c r="D272" s="60"/>
      <c r="E272" s="81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"/>
      <c r="C273" s="60"/>
      <c r="D273" s="60"/>
      <c r="E273" s="81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"/>
      <c r="C274" s="60"/>
      <c r="D274" s="60"/>
      <c r="E274" s="81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"/>
      <c r="C275" s="60"/>
      <c r="D275" s="60"/>
      <c r="E275" s="81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"/>
      <c r="C276" s="60"/>
      <c r="D276" s="60"/>
      <c r="E276" s="81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"/>
      <c r="C277" s="60"/>
      <c r="D277" s="60"/>
      <c r="E277" s="81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"/>
      <c r="C278" s="60"/>
      <c r="D278" s="60"/>
      <c r="E278" s="81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"/>
      <c r="C279" s="60"/>
      <c r="D279" s="60"/>
      <c r="E279" s="81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"/>
      <c r="C280" s="60"/>
      <c r="D280" s="60"/>
      <c r="E280" s="81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"/>
      <c r="C281" s="60"/>
      <c r="D281" s="60"/>
      <c r="E281" s="81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"/>
      <c r="C282" s="60"/>
      <c r="D282" s="60"/>
      <c r="E282" s="81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"/>
      <c r="C283" s="60"/>
      <c r="D283" s="60"/>
      <c r="E283" s="81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"/>
      <c r="C284" s="60"/>
      <c r="D284" s="60"/>
      <c r="E284" s="81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"/>
      <c r="C285" s="60"/>
      <c r="D285" s="60"/>
      <c r="E285" s="81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"/>
      <c r="C286" s="60"/>
      <c r="D286" s="60"/>
      <c r="E286" s="81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"/>
      <c r="C287" s="60"/>
      <c r="D287" s="60"/>
      <c r="E287" s="81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"/>
      <c r="C288" s="60"/>
      <c r="D288" s="60"/>
      <c r="E288" s="81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"/>
      <c r="C289" s="60"/>
      <c r="D289" s="60"/>
      <c r="E289" s="81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"/>
      <c r="C290" s="60"/>
      <c r="D290" s="60"/>
      <c r="E290" s="81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"/>
      <c r="C291" s="60"/>
      <c r="D291" s="60"/>
      <c r="E291" s="81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81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81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81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81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81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81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81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81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81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81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81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81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81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81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81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81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81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81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81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81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81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81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81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81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81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81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81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81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81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81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81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81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81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81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81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81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81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81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81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81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81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81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81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81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81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81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81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81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81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81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81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81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81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81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81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81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81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81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81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81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81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81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81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81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81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81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81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81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81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81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81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81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81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81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81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81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81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81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81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81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81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81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81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81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81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81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81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81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81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81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81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81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81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81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81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81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81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81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81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81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81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81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81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81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81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81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81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81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81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81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81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81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81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81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81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81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81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81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81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81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81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81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81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81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81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81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81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81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81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81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81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81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81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81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81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81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81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81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81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81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81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81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81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81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81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81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81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81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81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81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81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81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81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81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81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81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81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81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81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81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81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81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81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81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81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81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81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81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81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81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81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81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81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81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81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81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81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81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81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81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81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81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81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81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81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81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81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81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81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81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81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81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81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81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81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81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81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81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81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81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81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81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81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81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81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81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81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81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81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81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81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81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81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81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81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81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81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81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81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81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81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81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81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81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81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81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81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81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81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81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81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81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81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81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81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81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81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81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81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81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81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81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81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81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81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81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81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81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81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81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81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81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81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81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81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81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81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81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81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81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81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81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81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81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81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81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81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81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81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81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81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81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81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81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81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81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81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81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81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81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81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81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81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81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81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81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81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81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81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81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81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81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81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81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81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81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81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81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81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81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81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81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81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81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81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81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81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81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81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81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81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81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81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81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81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81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81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81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81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81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81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81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81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81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81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81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81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81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81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81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81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81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81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81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81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81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81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81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81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81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81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81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81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81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81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81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81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81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81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81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81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81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81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81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81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81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81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81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81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81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81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81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81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81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81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81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81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81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81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81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81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81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81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81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81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81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81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81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81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81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81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81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81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81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81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81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81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81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81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81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81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81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81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81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81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81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81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81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81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81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81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81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81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81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81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81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81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81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81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81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81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81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81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81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81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81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81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81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81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81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81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81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81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81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81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81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81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81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81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81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81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81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81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81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81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81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81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81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81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81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81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81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81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81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81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81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81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81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81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81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81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81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81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81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81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81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81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81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81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81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81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81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81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81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81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81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81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81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81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81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81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81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81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81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81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81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81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81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81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81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81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81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81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81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81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81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81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81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81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81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81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81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81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81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81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81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81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81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81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81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81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81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81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81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81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81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81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81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81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81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81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81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81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81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81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81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81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81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81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81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81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81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81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81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81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81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81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81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81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81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81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81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81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81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81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81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81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81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81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81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81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81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81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81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81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81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81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81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81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81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81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81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81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81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81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81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81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81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81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81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81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81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81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81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81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81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81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81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81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81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81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81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81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81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81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81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81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81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81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81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81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81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81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81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81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81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81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81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81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81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81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81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81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81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81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81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81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81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81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81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81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81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81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81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81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81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81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81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81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81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81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81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81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81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81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81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81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81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81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81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81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81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81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81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81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81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81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81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81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81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81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81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81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81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81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81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81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81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81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81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81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81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81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81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81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81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81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81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81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81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81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81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81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81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81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81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81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81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81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81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81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81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81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81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81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81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81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81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81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81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81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81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81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81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81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81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81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81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81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81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81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81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81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81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81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81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81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81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81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81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81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81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81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81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81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81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81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81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81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81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81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81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81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81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81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81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81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81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81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>
      <c r="A1001" s="60"/>
      <c r="B1001" s="60"/>
      <c r="C1001" s="60"/>
      <c r="D1001" s="60"/>
      <c r="E1001" s="81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>
      <c r="A1002" s="60"/>
      <c r="B1002" s="60"/>
      <c r="C1002" s="60"/>
      <c r="D1002" s="60"/>
      <c r="E1002" s="81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  <row r="1003">
      <c r="A1003" s="60"/>
      <c r="B1003" s="60"/>
      <c r="C1003" s="60"/>
      <c r="D1003" s="60"/>
      <c r="E1003" s="81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</row>
    <row r="1004">
      <c r="A1004" s="60"/>
      <c r="B1004" s="60"/>
      <c r="C1004" s="60"/>
      <c r="D1004" s="60"/>
      <c r="E1004" s="81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</row>
    <row r="1005">
      <c r="A1005" s="60"/>
      <c r="B1005" s="60"/>
      <c r="C1005" s="60"/>
      <c r="D1005" s="60"/>
      <c r="E1005" s="81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</row>
    <row r="1006">
      <c r="A1006" s="60"/>
      <c r="B1006" s="60"/>
      <c r="C1006" s="60"/>
      <c r="D1006" s="60"/>
      <c r="E1006" s="81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</row>
    <row r="1007">
      <c r="A1007" s="60"/>
      <c r="B1007" s="60"/>
      <c r="C1007" s="60"/>
      <c r="D1007" s="60"/>
      <c r="E1007" s="81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</row>
    <row r="1008">
      <c r="A1008" s="60"/>
      <c r="B1008" s="60"/>
      <c r="C1008" s="60"/>
      <c r="D1008" s="60"/>
      <c r="E1008" s="81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</row>
    <row r="1009">
      <c r="A1009" s="60"/>
      <c r="B1009" s="60"/>
      <c r="C1009" s="60"/>
      <c r="D1009" s="60"/>
      <c r="E1009" s="81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</row>
    <row r="1010">
      <c r="A1010" s="60"/>
      <c r="B1010" s="60"/>
      <c r="C1010" s="60"/>
      <c r="D1010" s="60"/>
      <c r="E1010" s="81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</row>
    <row r="1011">
      <c r="A1011" s="60"/>
      <c r="B1011" s="60"/>
      <c r="C1011" s="60"/>
      <c r="D1011" s="60"/>
      <c r="E1011" s="81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</row>
    <row r="1012">
      <c r="A1012" s="60"/>
      <c r="B1012" s="60"/>
      <c r="C1012" s="60"/>
      <c r="D1012" s="60"/>
      <c r="E1012" s="81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</row>
    <row r="1013">
      <c r="A1013" s="60"/>
      <c r="B1013" s="60"/>
      <c r="C1013" s="60"/>
      <c r="D1013" s="60"/>
      <c r="E1013" s="81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</row>
    <row r="1014">
      <c r="A1014" s="60"/>
      <c r="B1014" s="60"/>
      <c r="C1014" s="60"/>
      <c r="D1014" s="60"/>
      <c r="E1014" s="81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</row>
    <row r="1015">
      <c r="A1015" s="60"/>
      <c r="B1015" s="60"/>
      <c r="C1015" s="60"/>
      <c r="D1015" s="60"/>
      <c r="E1015" s="81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</row>
    <row r="1016">
      <c r="A1016" s="60"/>
      <c r="B1016" s="60"/>
      <c r="C1016" s="60"/>
      <c r="D1016" s="60"/>
      <c r="E1016" s="81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</row>
    <row r="1017">
      <c r="A1017" s="60"/>
      <c r="B1017" s="60"/>
      <c r="C1017" s="60"/>
      <c r="D1017" s="60"/>
      <c r="E1017" s="81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</row>
    <row r="1018">
      <c r="A1018" s="60"/>
      <c r="B1018" s="60"/>
      <c r="C1018" s="60"/>
      <c r="D1018" s="60"/>
      <c r="E1018" s="81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</row>
  </sheetData>
  <mergeCells count="42">
    <mergeCell ref="C30:C33"/>
    <mergeCell ref="D30:D33"/>
    <mergeCell ref="D34:D47"/>
    <mergeCell ref="C39:C43"/>
    <mergeCell ref="C44:C47"/>
    <mergeCell ref="C48:C54"/>
    <mergeCell ref="D48:D54"/>
    <mergeCell ref="C55:C61"/>
    <mergeCell ref="D55:D61"/>
    <mergeCell ref="C62:C68"/>
    <mergeCell ref="D62:D68"/>
    <mergeCell ref="C69:C75"/>
    <mergeCell ref="D69:D75"/>
    <mergeCell ref="D76:D82"/>
    <mergeCell ref="G2:G8"/>
    <mergeCell ref="G9:G15"/>
    <mergeCell ref="G16:G38"/>
    <mergeCell ref="G39:G95"/>
    <mergeCell ref="C9:C15"/>
    <mergeCell ref="C16:C22"/>
    <mergeCell ref="A2:A15"/>
    <mergeCell ref="B2:B8"/>
    <mergeCell ref="C2:C8"/>
    <mergeCell ref="D2:D8"/>
    <mergeCell ref="D9:D29"/>
    <mergeCell ref="A16:A38"/>
    <mergeCell ref="C23:C29"/>
    <mergeCell ref="C34:C38"/>
    <mergeCell ref="B69:B75"/>
    <mergeCell ref="B76:B95"/>
    <mergeCell ref="B9:B29"/>
    <mergeCell ref="B30:B33"/>
    <mergeCell ref="B34:B47"/>
    <mergeCell ref="A39:A68"/>
    <mergeCell ref="B48:B61"/>
    <mergeCell ref="B62:B68"/>
    <mergeCell ref="A69:A95"/>
    <mergeCell ref="C76:C82"/>
    <mergeCell ref="C83:C88"/>
    <mergeCell ref="C89:C95"/>
    <mergeCell ref="D83:D88"/>
    <mergeCell ref="D89:D9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2024-10-15T05:00:37Z</dcterms:created>
  <dc:creator>Mauricio_Noj</dc:creator>
</cp:coreProperties>
</file>