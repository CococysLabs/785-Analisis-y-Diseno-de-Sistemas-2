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uesta 1" sheetId="1" r:id="rId5"/>
    <sheet state="visible" name="Propuesta 2" sheetId="2" r:id="rId6"/>
    <sheet state="visible" name="Hoja 3" sheetId="3" r:id="rId7"/>
    <sheet state="visible" name="preguntas" sheetId="4" r:id="rId8"/>
  </sheets>
  <definedNames/>
  <calcPr/>
</workbook>
</file>

<file path=xl/sharedStrings.xml><?xml version="1.0" encoding="utf-8"?>
<sst xmlns="http://schemas.openxmlformats.org/spreadsheetml/2006/main" count="164" uniqueCount="127">
  <si>
    <t>Descripción</t>
  </si>
  <si>
    <t>Qué protocolos de comunicación utilizaron para la comunicación entre la presentación y la lógica</t>
  </si>
  <si>
    <t>Nota</t>
  </si>
  <si>
    <t>Qué pasa cuando el servidor recibe los datos de una nueva cuenta de usuario</t>
  </si>
  <si>
    <t>Explicame como funciona el patrón &lt;equis&gt;. Ahora muestrame como está implementado en el código</t>
  </si>
  <si>
    <t xml:space="preserve">En la funcionalidad de nivel de stock, ¿Qué cambios hicieron en la arquitectura para poder implementar esta funcionalidad? </t>
  </si>
  <si>
    <t>¿Que archivos por servicio incluyeron antes de hacer el docker-compose? (R:// Dockerfiles y deben mostrarlo y explicarlo, recalcando diferencia entre imagen/contenedor)</t>
  </si>
  <si>
    <t>¿Que utilizaron para actualizar las alertas de stock en frontend-backend? (R//: Rest API, Events, WebSckets)</t>
  </si>
  <si>
    <t>Nota aprobación</t>
  </si>
  <si>
    <t>¿Como se represento en la arquitectura el almacenamiento local de archivos estaticos?</t>
  </si>
  <si>
    <t>¿Que algoritmo de encriptación usaron para datos sensibles y en que parte del codigo esta implementado?</t>
  </si>
  <si>
    <t>¿Que libreria para la generación de PDF utilizaron?(ej. PDFKIT, iText)</t>
  </si>
  <si>
    <t>&lt;- TOTAL</t>
  </si>
  <si>
    <t>Caso de prueba 1</t>
  </si>
  <si>
    <t>Desde gerente, agregar alerta de stock general (20 unidades)</t>
  </si>
  <si>
    <t>Agregar alerta de stock diferente a un producto (10 unidades)</t>
  </si>
  <si>
    <t>Crear 2 supervisores desde cuenta Gerente</t>
  </si>
  <si>
    <t>Confirmar cuentas supervisores por correo</t>
  </si>
  <si>
    <t>Modificar datos cuenta 1 supervisor</t>
  </si>
  <si>
    <t>Eliminar 1 supervisor</t>
  </si>
  <si>
    <t>Ver registro/historial de eliminaciones de supervisores</t>
  </si>
  <si>
    <t>Crear 2 empleados desde cuenta nuevo supervisor</t>
  </si>
  <si>
    <t>Desde gerente, agregar alerta de stock general (10 unidades)</t>
  </si>
  <si>
    <t>Confirmar cuentas empleados por correo</t>
  </si>
  <si>
    <t>Modificar datos cuenta 1 empleado</t>
  </si>
  <si>
    <t>Eliminar 1 empleado</t>
  </si>
  <si>
    <t>Ver registro/historial de eliminaciones de empleados</t>
  </si>
  <si>
    <t>Agregar 3 nuevos producto (21 unidades todos) (1 sin imágen)</t>
  </si>
  <si>
    <t>Modificar 1 nuevo producto (Cambiar imagen y datos)</t>
  </si>
  <si>
    <t>Eliminar 1 nuevo producto</t>
  </si>
  <si>
    <t>Agregar 6 nuevos libros (21 unidades todos) (3 con mismo autor, repartir en 3 géneros, cada libro vale Q5 menos que anterior)</t>
  </si>
  <si>
    <t>Modificar 1 nuevo libro</t>
  </si>
  <si>
    <t>Eliminar 1 nuevo libro</t>
  </si>
  <si>
    <t>Caso de prueba 2</t>
  </si>
  <si>
    <t>Agregar 4 nuevos productos, A,B,C,D (20 unidades todos, 2 categorias diferentes) (cada producto Q5 más que anterior)</t>
  </si>
  <si>
    <t>Desde empleado, buscar uno de los nuevos libros</t>
  </si>
  <si>
    <t>Agregar 4 nuevos libros, A,B,C,D (20 unidades todos) (Repartir 2 autores, 2 géneros) (cada libro vale Q5 menos que anterior)</t>
  </si>
  <si>
    <t>Vender 6 unidades de ese libro</t>
  </si>
  <si>
    <t>Hacer una cuenta cliente por cada integrante</t>
  </si>
  <si>
    <t>Buscar libro y verificar que el stock disminuyó</t>
  </si>
  <si>
    <t>Confirmar cuentas cliente</t>
  </si>
  <si>
    <t>Verificar que el sistema genera y guarda la factura en PDF</t>
  </si>
  <si>
    <t>Buscar el producto que tiene alerta de stock de 10 unidades</t>
  </si>
  <si>
    <t>Actualización documentación (proporcional a los cambios solicitados en fase 1)</t>
  </si>
  <si>
    <t>Vender 6 unidades de ese producto</t>
  </si>
  <si>
    <t>Buscar producto y verificar que el stock disminuyó</t>
  </si>
  <si>
    <t>Desde supervisor, alertas de stock debe mostrar 1 alerta para libro que quedó en 15 unidades</t>
  </si>
  <si>
    <t>Alertas de stock no debe mostar alerta para producto que quedó en 15 unidades</t>
  </si>
  <si>
    <t>Desde gerente, ver reportes de ventas</t>
  </si>
  <si>
    <t>Productos más vendidos</t>
  </si>
  <si>
    <t>Comparación de ventas en distintos periodos</t>
  </si>
  <si>
    <t>Volumen de ventas por categoría</t>
  </si>
  <si>
    <t>ver reportes de ganancias</t>
  </si>
  <si>
    <t>Margen de ganancia por producto</t>
  </si>
  <si>
    <t>Comparación de ganancias en distintos periodos</t>
  </si>
  <si>
    <t>Ganancias netas por categoría de productos</t>
  </si>
  <si>
    <t>Caso de prueba 3</t>
  </si>
  <si>
    <t>Sin iniciar sesión usuario, buscar libros por autor</t>
  </si>
  <si>
    <t>Buscar libros por genéro</t>
  </si>
  <si>
    <t>Ordernar libros por precio</t>
  </si>
  <si>
    <t>Crear una cuenta de usuario</t>
  </si>
  <si>
    <t>Confirmar cuenta usuario por correo</t>
  </si>
  <si>
    <t>Iniciar sesión usuario y agregar 3 libros a lista de deseos</t>
  </si>
  <si>
    <t>Agregar 3 libros a carrito (6 unidades cada uno)</t>
  </si>
  <si>
    <t>Todos inician sesión de empleado</t>
  </si>
  <si>
    <t>Realizar compra</t>
  </si>
  <si>
    <t>Agregar calificación a los 3 libros</t>
  </si>
  <si>
    <t>Modificar calificción de 1 libro</t>
  </si>
  <si>
    <t>Eliminar calificación de 1 libro</t>
  </si>
  <si>
    <t>Ver sección de libros mejor valorados por la comunidad</t>
  </si>
  <si>
    <t>Desde supervisor, modificar stock de 1 producto para que sea mayor a 20. Verificar que alerta de stock para ese producto ya no aparece</t>
  </si>
  <si>
    <t>Cada empleado vende 5 unidades de producto A, 2 unidades del producto B, mitad empleados 1 unidad producto C, mitad empleados 1 unidad producto D</t>
  </si>
  <si>
    <t>Ver reseñas de los libros comprados</t>
  </si>
  <si>
    <t>Se completan transacciones con stock, fallan transacciones sin stock</t>
  </si>
  <si>
    <t>Patrones de diseño implementados</t>
  </si>
  <si>
    <t>Patrón 1</t>
  </si>
  <si>
    <t>Patrón 2</t>
  </si>
  <si>
    <t>El sistema muestra una alerta para el producto A y B</t>
  </si>
  <si>
    <t>Patrón 3</t>
  </si>
  <si>
    <t>Patrón 4</t>
  </si>
  <si>
    <t>Se generan las facturas correspondientes</t>
  </si>
  <si>
    <t>Patrón 5</t>
  </si>
  <si>
    <t>Revisar diagrama de despliegue vs implementación</t>
  </si>
  <si>
    <t>Documentación</t>
  </si>
  <si>
    <t>Flujo de datos de venta corresponde a diagrama</t>
  </si>
  <si>
    <t>Nueva documentación fase 2</t>
  </si>
  <si>
    <t>Manual de usuario</t>
  </si>
  <si>
    <t>¿qué espera ver en este inciso cómo mínimo?</t>
  </si>
  <si>
    <t>Documentación SCRUM</t>
  </si>
  <si>
    <t>3 planning</t>
  </si>
  <si>
    <t>3 restrospective</t>
  </si>
  <si>
    <t>idem</t>
  </si>
  <si>
    <t>9 daily</t>
  </si>
  <si>
    <t>Calificación individual</t>
  </si>
  <si>
    <t>Distribución tareas</t>
  </si>
  <si>
    <t>Consistencia trabajo</t>
  </si>
  <si>
    <t>Preguntas de su trabajo</t>
  </si>
  <si>
    <t>Restricciones</t>
  </si>
  <si>
    <t>No hay mínimo 3 releases</t>
  </si>
  <si>
    <t>-10% grupal</t>
  </si>
  <si>
    <t>Todos inician sesión cliente</t>
  </si>
  <si>
    <t>No usaron docker compose</t>
  </si>
  <si>
    <t>-20% grupal</t>
  </si>
  <si>
    <t>Documentación actualizada con observaciones fase 1</t>
  </si>
  <si>
    <t>pasar al caso 1</t>
  </si>
  <si>
    <t>Incorporación de modificaciones de la fase 2 a la documentación</t>
  </si>
  <si>
    <t>poner en caso 2</t>
  </si>
  <si>
    <t>Cada cliente compra 5 unidades del Libro A y B, 2 unidades libro C y D</t>
  </si>
  <si>
    <t>¿Cuánto deben sacar en cada caso para tener derecho a las preguntas individuales.</t>
  </si>
  <si>
    <t>Si no pueden iniciar sesión todos en casos 2 y 3</t>
  </si>
  <si>
    <t>Iniciar sesión como gerente</t>
  </si>
  <si>
    <t>en cada caso</t>
  </si>
  <si>
    <t>Graficas de ganancias muestran actualizaciones</t>
  </si>
  <si>
    <t>Graficas de ventas muestran actualizaciones</t>
  </si>
  <si>
    <t>Flujo de datos de compra corresponde a diagrama</t>
  </si>
  <si>
    <t>¿cómo va a verificar esto? qué debe tener cada inciso?</t>
  </si>
  <si>
    <t>¿contenido mínimo a revisar?</t>
  </si>
  <si>
    <t>Penalizaciones</t>
  </si>
  <si>
    <t>No hay mínimo 3 releases (es decir, no taguearon los commit y marcaron como release)</t>
  </si>
  <si>
    <t>-60% grupal</t>
  </si>
  <si>
    <t xml:space="preserve">SI no pueden iniciar sesión todos en casos 2 y 3 </t>
  </si>
  <si>
    <t xml:space="preserve">-50% grupal </t>
  </si>
  <si>
    <t>en cada caso.</t>
  </si>
  <si>
    <t>cuánto deben sacar en casos 2 y 3 para tener derecho a las preguntas¿?</t>
  </si>
  <si>
    <t>y modificaciones que deben estar documentadas en fase 2?</t>
  </si>
  <si>
    <t>Esto en el caso 2</t>
  </si>
  <si>
    <t>La actualización de la documentación deben quedar en  el caso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</si>
</sst>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Fill="1" applyFont="1"/>
    <xf borderId="0" fillId="3" fontId="3" numFmtId="0" xfId="0" applyAlignment="1" applyFill="1" applyFont="1">
      <alignment readingOrder="0" shrinkToFit="0" vertical="bottom" wrapText="1"/>
    </xf>
    <xf borderId="0" fillId="3" fontId="3" numFmtId="0" xfId="0" applyAlignment="1" applyFill="1" applyFont="1">
      <alignment horizontal="right" readingOrder="0" vertical="bottom"/>
    </xf>
    <xf borderId="0" fillId="3" fontId="3" numFmtId="0" xfId="0" applyAlignment="1" applyFill="1" applyFont="1">
      <alignment shrinkToFit="0" vertical="bottom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 shrinkToFit="0" wrapText="1"/>
    </xf>
    <xf borderId="0" fillId="4" fontId="2" numFmtId="0" xfId="0" applyFill="1" applyFont="1"/>
    <xf borderId="0" fillId="0" fontId="2" numFmtId="1" xfId="0" applyFont="1" applyNumberFormat="1"/>
    <xf borderId="0" fillId="0" fontId="1" numFmtId="9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13"/>
  </cols>
  <sheetData>
    <row r="1">
      <c r="A1" s="1" t="s">
        <v>0</v>
      </c>
      <c r="B1" s="3" t="s">
        <v>2</v>
      </c>
      <c r="C1" s="4">
        <f>SUM(B:B)</f>
        <v>99.5</v>
      </c>
      <c r="D1" s="3" t="s">
        <v>12</v>
      </c>
    </row>
    <row r="2">
      <c r="A2" s="1" t="s">
        <v>13</v>
      </c>
    </row>
    <row r="3">
      <c r="A3" s="6" t="s">
        <v>14</v>
      </c>
      <c r="B3" s="2">
        <v>1.0</v>
      </c>
    </row>
    <row r="4">
      <c r="A4" s="6" t="s">
        <v>15</v>
      </c>
      <c r="B4" s="2">
        <v>1.0</v>
      </c>
    </row>
    <row r="5">
      <c r="A5" s="6" t="s">
        <v>16</v>
      </c>
      <c r="B5" s="2">
        <v>1.0</v>
      </c>
    </row>
    <row r="6">
      <c r="A6" s="6" t="s">
        <v>17</v>
      </c>
      <c r="B6" s="2">
        <v>1.0</v>
      </c>
    </row>
    <row r="7">
      <c r="A7" s="6" t="s">
        <v>18</v>
      </c>
      <c r="B7" s="2">
        <v>0.5</v>
      </c>
    </row>
    <row r="8">
      <c r="A8" s="6" t="s">
        <v>19</v>
      </c>
      <c r="B8" s="2">
        <v>0.5</v>
      </c>
    </row>
    <row r="9">
      <c r="A9" s="6" t="s">
        <v>20</v>
      </c>
      <c r="B9" s="2">
        <v>0.5</v>
      </c>
    </row>
    <row r="10">
      <c r="A10" s="6" t="s">
        <v>21</v>
      </c>
      <c r="B10" s="2">
        <v>1.0</v>
      </c>
    </row>
    <row r="11">
      <c r="A11" s="6" t="s">
        <v>23</v>
      </c>
      <c r="B11" s="2">
        <v>1.0</v>
      </c>
    </row>
    <row r="12">
      <c r="A12" s="6" t="s">
        <v>24</v>
      </c>
      <c r="B12" s="2">
        <v>0.5</v>
      </c>
    </row>
    <row r="13">
      <c r="A13" s="6" t="s">
        <v>25</v>
      </c>
      <c r="B13" s="2">
        <v>0.5</v>
      </c>
    </row>
    <row r="14">
      <c r="A14" s="6" t="s">
        <v>26</v>
      </c>
      <c r="B14" s="2">
        <v>0.5</v>
      </c>
    </row>
    <row r="15">
      <c r="A15" s="6" t="s">
        <v>27</v>
      </c>
      <c r="B15" s="2">
        <v>1.0</v>
      </c>
    </row>
    <row r="16">
      <c r="A16" s="6" t="s">
        <v>28</v>
      </c>
      <c r="B16" s="2">
        <v>0.5</v>
      </c>
    </row>
    <row r="17">
      <c r="A17" s="6" t="s">
        <v>29</v>
      </c>
      <c r="B17" s="2">
        <v>0.5</v>
      </c>
    </row>
    <row r="18">
      <c r="A18" s="6" t="s">
        <v>30</v>
      </c>
      <c r="B18" s="2">
        <v>1.0</v>
      </c>
    </row>
    <row r="19">
      <c r="A19" s="6" t="s">
        <v>31</v>
      </c>
      <c r="B19" s="2">
        <v>0.5</v>
      </c>
    </row>
    <row r="20">
      <c r="A20" s="6" t="s">
        <v>32</v>
      </c>
      <c r="B20" s="2">
        <v>0.5</v>
      </c>
    </row>
    <row r="21">
      <c r="A21" s="1" t="s">
        <v>33</v>
      </c>
    </row>
    <row r="22">
      <c r="A22" s="6" t="s">
        <v>35</v>
      </c>
      <c r="B22" s="2">
        <v>0.5</v>
      </c>
    </row>
    <row r="23">
      <c r="A23" s="6" t="s">
        <v>37</v>
      </c>
      <c r="B23" s="2">
        <v>1.0</v>
      </c>
    </row>
    <row r="24">
      <c r="A24" s="6" t="s">
        <v>39</v>
      </c>
      <c r="B24" s="2">
        <v>0.5</v>
      </c>
    </row>
    <row r="25">
      <c r="A25" s="6" t="s">
        <v>41</v>
      </c>
      <c r="B25" s="2">
        <v>0.5</v>
      </c>
    </row>
    <row r="26">
      <c r="A26" s="6" t="s">
        <v>42</v>
      </c>
      <c r="B26" s="2">
        <v>0.5</v>
      </c>
    </row>
    <row r="27">
      <c r="A27" s="6" t="s">
        <v>44</v>
      </c>
      <c r="B27" s="2">
        <v>1.0</v>
      </c>
    </row>
    <row r="28">
      <c r="A28" s="6" t="s">
        <v>45</v>
      </c>
      <c r="B28" s="2">
        <v>0.5</v>
      </c>
    </row>
    <row r="29">
      <c r="A29" s="6" t="s">
        <v>41</v>
      </c>
      <c r="B29" s="2">
        <v>0.5</v>
      </c>
    </row>
    <row r="30">
      <c r="A30" s="6" t="s">
        <v>46</v>
      </c>
      <c r="B30" s="2">
        <v>0.5</v>
      </c>
    </row>
    <row r="31">
      <c r="A31" s="6" t="s">
        <v>47</v>
      </c>
      <c r="B31" s="2">
        <v>0.5</v>
      </c>
    </row>
    <row r="32">
      <c r="A32" s="6" t="s">
        <v>48</v>
      </c>
    </row>
    <row r="33">
      <c r="A33" s="6" t="s">
        <v>49</v>
      </c>
      <c r="B33" s="2">
        <v>1.0</v>
      </c>
    </row>
    <row r="34">
      <c r="A34" s="6" t="s">
        <v>50</v>
      </c>
      <c r="B34" s="2">
        <v>1.0</v>
      </c>
    </row>
    <row r="35">
      <c r="A35" s="6" t="s">
        <v>51</v>
      </c>
      <c r="B35" s="2">
        <v>1.0</v>
      </c>
    </row>
    <row r="36">
      <c r="A36" s="6" t="s">
        <v>52</v>
      </c>
    </row>
    <row r="37">
      <c r="A37" s="6" t="s">
        <v>53</v>
      </c>
      <c r="B37" s="2">
        <v>1.0</v>
      </c>
    </row>
    <row r="38">
      <c r="A38" s="6" t="s">
        <v>54</v>
      </c>
      <c r="B38" s="2">
        <v>1.0</v>
      </c>
    </row>
    <row r="39">
      <c r="A39" s="6" t="s">
        <v>55</v>
      </c>
      <c r="B39" s="2">
        <v>1.0</v>
      </c>
    </row>
    <row r="40">
      <c r="A40" s="1" t="s">
        <v>56</v>
      </c>
    </row>
    <row r="41">
      <c r="A41" s="6" t="s">
        <v>57</v>
      </c>
      <c r="B41" s="2">
        <v>0.5</v>
      </c>
    </row>
    <row r="42">
      <c r="A42" s="6" t="s">
        <v>58</v>
      </c>
      <c r="B42" s="2">
        <v>0.5</v>
      </c>
    </row>
    <row r="43">
      <c r="A43" s="6" t="s">
        <v>59</v>
      </c>
      <c r="B43" s="2">
        <v>0.5</v>
      </c>
    </row>
    <row r="44">
      <c r="A44" s="6" t="s">
        <v>60</v>
      </c>
      <c r="B44" s="2">
        <v>1.0</v>
      </c>
    </row>
    <row r="45">
      <c r="A45" s="6" t="s">
        <v>61</v>
      </c>
      <c r="B45" s="2">
        <v>0.5</v>
      </c>
    </row>
    <row r="46">
      <c r="A46" s="6" t="s">
        <v>62</v>
      </c>
      <c r="B46" s="2">
        <v>1.0</v>
      </c>
    </row>
    <row r="47">
      <c r="A47" s="6" t="s">
        <v>63</v>
      </c>
      <c r="B47" s="2">
        <v>1.0</v>
      </c>
    </row>
    <row r="48">
      <c r="A48" s="6" t="s">
        <v>65</v>
      </c>
      <c r="B48" s="2">
        <v>1.0</v>
      </c>
    </row>
    <row r="49">
      <c r="A49" s="6" t="s">
        <v>66</v>
      </c>
      <c r="B49" s="2">
        <v>1.0</v>
      </c>
    </row>
    <row r="50">
      <c r="A50" s="6" t="s">
        <v>67</v>
      </c>
      <c r="B50" s="2">
        <v>0.5</v>
      </c>
    </row>
    <row r="51">
      <c r="A51" s="6" t="s">
        <v>68</v>
      </c>
      <c r="B51" s="2">
        <v>0.5</v>
      </c>
    </row>
    <row r="52">
      <c r="A52" s="6" t="s">
        <v>69</v>
      </c>
      <c r="B52" s="2">
        <v>1.0</v>
      </c>
    </row>
    <row r="53">
      <c r="A53" s="6" t="s">
        <v>70</v>
      </c>
      <c r="B53" s="2">
        <v>0.5</v>
      </c>
    </row>
    <row r="54">
      <c r="A54" s="6" t="s">
        <v>72</v>
      </c>
      <c r="B54" s="2">
        <v>0.5</v>
      </c>
    </row>
    <row r="55">
      <c r="A55" s="1" t="s">
        <v>74</v>
      </c>
    </row>
    <row r="56">
      <c r="A56" s="6" t="s">
        <v>75</v>
      </c>
      <c r="B56" s="2">
        <v>2.0</v>
      </c>
    </row>
    <row r="57">
      <c r="A57" s="6" t="s">
        <v>76</v>
      </c>
      <c r="B57" s="2">
        <v>2.0</v>
      </c>
    </row>
    <row r="58">
      <c r="A58" s="6" t="s">
        <v>78</v>
      </c>
      <c r="B58" s="2">
        <v>2.0</v>
      </c>
    </row>
    <row r="59">
      <c r="A59" s="6" t="s">
        <v>79</v>
      </c>
      <c r="B59" s="2">
        <v>2.0</v>
      </c>
    </row>
    <row r="60">
      <c r="A60" s="6" t="s">
        <v>81</v>
      </c>
      <c r="B60" s="2">
        <v>2.0</v>
      </c>
    </row>
    <row r="61">
      <c r="A61" s="1" t="s">
        <v>83</v>
      </c>
      <c r="B61" s="2"/>
    </row>
    <row r="62">
      <c r="A62" s="6" t="s">
        <v>43</v>
      </c>
      <c r="B62" s="2">
        <v>10.0</v>
      </c>
    </row>
    <row r="63">
      <c r="A63" s="6" t="s">
        <v>86</v>
      </c>
      <c r="B63" s="2">
        <v>5.0</v>
      </c>
      <c r="C63" s="3" t="s">
        <v>87</v>
      </c>
    </row>
    <row r="64">
      <c r="A64" s="1" t="s">
        <v>88</v>
      </c>
    </row>
    <row r="65">
      <c r="A65" s="6" t="s">
        <v>89</v>
      </c>
      <c r="B65" s="2">
        <v>3.0</v>
      </c>
      <c r="C65" s="3" t="s">
        <v>87</v>
      </c>
    </row>
    <row r="66">
      <c r="A66" s="6" t="s">
        <v>90</v>
      </c>
      <c r="B66" s="2">
        <v>3.0</v>
      </c>
      <c r="C66" s="3" t="s">
        <v>91</v>
      </c>
    </row>
    <row r="67">
      <c r="A67" s="6" t="s">
        <v>92</v>
      </c>
      <c r="B67" s="2">
        <v>9.0</v>
      </c>
      <c r="C67" s="3" t="s">
        <v>91</v>
      </c>
    </row>
    <row r="68">
      <c r="A68" s="1" t="s">
        <v>93</v>
      </c>
    </row>
    <row r="69">
      <c r="A69" s="6" t="s">
        <v>94</v>
      </c>
      <c r="B69" s="2">
        <v>5.0</v>
      </c>
    </row>
    <row r="70">
      <c r="A70" s="6" t="s">
        <v>95</v>
      </c>
      <c r="B70" s="2">
        <v>5.0</v>
      </c>
    </row>
    <row r="71">
      <c r="A71" s="6" t="s">
        <v>96</v>
      </c>
      <c r="B71" s="2">
        <v>15.0</v>
      </c>
    </row>
    <row r="72">
      <c r="A72" s="1" t="s">
        <v>97</v>
      </c>
    </row>
    <row r="73">
      <c r="A73" s="6" t="s">
        <v>98</v>
      </c>
      <c r="B73" s="2" t="s">
        <v>99</v>
      </c>
      <c r="C73" s="17">
        <v>-0.5</v>
      </c>
    </row>
    <row r="74">
      <c r="A74" s="6" t="s">
        <v>101</v>
      </c>
      <c r="B74" s="2" t="s">
        <v>102</v>
      </c>
      <c r="C74" s="17">
        <v>-0.75</v>
      </c>
    </row>
    <row r="75">
      <c r="A75" s="1" t="s">
        <v>103</v>
      </c>
      <c r="B75" s="3" t="s">
        <v>104</v>
      </c>
    </row>
    <row r="76">
      <c r="A76" s="1" t="s">
        <v>105</v>
      </c>
      <c r="B76" s="3" t="s">
        <v>106</v>
      </c>
    </row>
    <row r="77">
      <c r="A77" s="1" t="s">
        <v>108</v>
      </c>
      <c r="B77" s="4"/>
    </row>
    <row r="78">
      <c r="A78" s="1" t="s">
        <v>109</v>
      </c>
      <c r="B78" s="17">
        <v>-0.5</v>
      </c>
      <c r="C78" s="3" t="s">
        <v>111</v>
      </c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  <row r="1001">
      <c r="A1001" s="19"/>
    </row>
    <row r="1002">
      <c r="A1002" s="19"/>
    </row>
    <row r="1003">
      <c r="A1003" s="19"/>
    </row>
    <row r="1004">
      <c r="A1004" s="19"/>
    </row>
    <row r="1005">
      <c r="A1005" s="19"/>
    </row>
    <row r="1006">
      <c r="A1006" s="19"/>
    </row>
    <row r="1007">
      <c r="A1007" s="19"/>
    </row>
    <row r="1008">
      <c r="A1008" s="19"/>
    </row>
    <row r="1009">
      <c r="A1009" s="19"/>
    </row>
    <row r="1010">
      <c r="A1010" s="19"/>
    </row>
    <row r="1011">
      <c r="A1011" s="19"/>
    </row>
    <row r="1012">
      <c r="A1012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13"/>
  </cols>
  <sheetData>
    <row r="1">
      <c r="A1" s="1" t="s">
        <v>0</v>
      </c>
      <c r="B1" s="3" t="s">
        <v>2</v>
      </c>
      <c r="C1" s="3" t="s">
        <v>8</v>
      </c>
      <c r="D1" s="4">
        <f>B2+B13+B22+B35+B41+B46</f>
        <v>75</v>
      </c>
      <c r="E1" s="3" t="s">
        <v>12</v>
      </c>
    </row>
    <row r="2">
      <c r="A2" s="5" t="s">
        <v>13</v>
      </c>
      <c r="B2" s="7">
        <f>SUM(B3:B12)</f>
        <v>19</v>
      </c>
      <c r="C2" s="2">
        <v>19.0</v>
      </c>
    </row>
    <row r="3">
      <c r="A3" s="8" t="s">
        <v>22</v>
      </c>
      <c r="B3" s="9">
        <v>1.0</v>
      </c>
    </row>
    <row r="4">
      <c r="A4" s="8" t="s">
        <v>16</v>
      </c>
      <c r="B4" s="9">
        <v>1.0</v>
      </c>
    </row>
    <row r="5">
      <c r="A5" s="10" t="s">
        <v>17</v>
      </c>
      <c r="B5" s="9">
        <v>1.0</v>
      </c>
    </row>
    <row r="6">
      <c r="A6" s="10" t="s">
        <v>21</v>
      </c>
      <c r="B6" s="9">
        <v>1.0</v>
      </c>
    </row>
    <row r="7">
      <c r="A7" s="10" t="s">
        <v>23</v>
      </c>
      <c r="B7" s="9">
        <v>1.0</v>
      </c>
    </row>
    <row r="8">
      <c r="A8" s="8" t="s">
        <v>34</v>
      </c>
      <c r="B8" s="9">
        <v>1.0</v>
      </c>
    </row>
    <row r="9">
      <c r="A9" s="8" t="s">
        <v>36</v>
      </c>
      <c r="B9" s="9">
        <v>1.0</v>
      </c>
    </row>
    <row r="10">
      <c r="A10" s="8" t="s">
        <v>38</v>
      </c>
      <c r="B10" s="9">
        <v>1.0</v>
      </c>
    </row>
    <row r="11">
      <c r="A11" s="8" t="s">
        <v>40</v>
      </c>
      <c r="B11" s="9">
        <v>1.0</v>
      </c>
    </row>
    <row r="12">
      <c r="A12" s="11" t="s">
        <v>43</v>
      </c>
      <c r="B12" s="12">
        <v>10.0</v>
      </c>
    </row>
    <row r="13">
      <c r="A13" s="5" t="s">
        <v>33</v>
      </c>
      <c r="B13" s="7">
        <f>SUM(B14:B21)</f>
        <v>16</v>
      </c>
      <c r="C13" s="13">
        <f>B13*0.75</f>
        <v>12</v>
      </c>
    </row>
    <row r="14">
      <c r="A14" s="14" t="s">
        <v>64</v>
      </c>
      <c r="B14" s="15"/>
    </row>
    <row r="15">
      <c r="A15" s="14" t="s">
        <v>71</v>
      </c>
      <c r="B15" s="15"/>
    </row>
    <row r="16">
      <c r="A16" s="11" t="s">
        <v>73</v>
      </c>
      <c r="B16" s="12">
        <v>2.0</v>
      </c>
    </row>
    <row r="17">
      <c r="A17" s="11" t="s">
        <v>77</v>
      </c>
      <c r="B17" s="12">
        <v>2.0</v>
      </c>
    </row>
    <row r="18">
      <c r="A18" s="11" t="s">
        <v>80</v>
      </c>
      <c r="B18" s="12">
        <v>2.0</v>
      </c>
    </row>
    <row r="19">
      <c r="A19" s="14" t="s">
        <v>82</v>
      </c>
      <c r="B19" s="15"/>
    </row>
    <row r="20">
      <c r="A20" s="11" t="s">
        <v>84</v>
      </c>
      <c r="B20" s="12">
        <v>6.0</v>
      </c>
    </row>
    <row r="21">
      <c r="A21" s="11" t="s">
        <v>85</v>
      </c>
      <c r="B21" s="12">
        <v>4.0</v>
      </c>
    </row>
    <row r="22">
      <c r="A22" s="5" t="s">
        <v>56</v>
      </c>
      <c r="B22" s="7">
        <f>SUM(B23:B34)</f>
        <v>12</v>
      </c>
      <c r="C22" s="16">
        <f>B22*0.7</f>
        <v>8.4</v>
      </c>
    </row>
    <row r="23">
      <c r="A23" s="18" t="s">
        <v>100</v>
      </c>
      <c r="B23" s="15"/>
    </row>
    <row r="24">
      <c r="A24" s="18" t="s">
        <v>107</v>
      </c>
      <c r="B24" s="15"/>
    </row>
    <row r="25">
      <c r="A25" s="11" t="s">
        <v>73</v>
      </c>
      <c r="B25" s="12">
        <v>2.0</v>
      </c>
    </row>
    <row r="26">
      <c r="A26" s="14" t="s">
        <v>110</v>
      </c>
      <c r="B26" s="15"/>
    </row>
    <row r="27">
      <c r="A27" s="14" t="s">
        <v>112</v>
      </c>
      <c r="B27" s="15"/>
    </row>
    <row r="28">
      <c r="A28" s="11" t="s">
        <v>53</v>
      </c>
      <c r="B28" s="12">
        <v>1.0</v>
      </c>
    </row>
    <row r="29">
      <c r="A29" s="11" t="s">
        <v>55</v>
      </c>
      <c r="B29" s="12">
        <v>1.0</v>
      </c>
    </row>
    <row r="30">
      <c r="A30" s="14" t="s">
        <v>113</v>
      </c>
      <c r="B30" s="14"/>
    </row>
    <row r="31">
      <c r="A31" s="11" t="s">
        <v>49</v>
      </c>
      <c r="B31" s="11">
        <v>1.0</v>
      </c>
    </row>
    <row r="32">
      <c r="A32" s="11" t="s">
        <v>51</v>
      </c>
      <c r="B32" s="11">
        <v>1.0</v>
      </c>
    </row>
    <row r="33">
      <c r="A33" s="14" t="s">
        <v>82</v>
      </c>
      <c r="B33" s="14"/>
    </row>
    <row r="34">
      <c r="A34" s="11" t="s">
        <v>114</v>
      </c>
      <c r="B34" s="11">
        <v>6.0</v>
      </c>
    </row>
    <row r="35">
      <c r="A35" s="5" t="s">
        <v>74</v>
      </c>
      <c r="B35" s="7">
        <f>SUM(B36:B40)</f>
        <v>10</v>
      </c>
    </row>
    <row r="36">
      <c r="A36" s="11" t="s">
        <v>75</v>
      </c>
      <c r="B36" s="12">
        <v>2.0</v>
      </c>
    </row>
    <row r="37">
      <c r="A37" s="11" t="s">
        <v>76</v>
      </c>
      <c r="B37" s="12">
        <v>2.0</v>
      </c>
    </row>
    <row r="38">
      <c r="A38" s="11" t="s">
        <v>78</v>
      </c>
      <c r="B38" s="12">
        <v>2.0</v>
      </c>
    </row>
    <row r="39">
      <c r="A39" s="11" t="s">
        <v>79</v>
      </c>
      <c r="B39" s="12">
        <v>2.0</v>
      </c>
    </row>
    <row r="40">
      <c r="A40" s="11" t="s">
        <v>81</v>
      </c>
      <c r="B40" s="12">
        <v>2.0</v>
      </c>
    </row>
    <row r="41">
      <c r="A41" s="5" t="s">
        <v>83</v>
      </c>
      <c r="B41" s="5">
        <f>SUM(B42:B45)</f>
        <v>18</v>
      </c>
    </row>
    <row r="42">
      <c r="A42" s="11" t="s">
        <v>89</v>
      </c>
      <c r="B42" s="12">
        <v>3.0</v>
      </c>
      <c r="C42" s="20"/>
      <c r="D42" s="20" t="s">
        <v>115</v>
      </c>
    </row>
    <row r="43">
      <c r="A43" s="11" t="s">
        <v>90</v>
      </c>
      <c r="B43" s="12">
        <v>3.0</v>
      </c>
    </row>
    <row r="44">
      <c r="A44" s="11" t="s">
        <v>92</v>
      </c>
      <c r="B44" s="12">
        <v>9.0</v>
      </c>
    </row>
    <row r="45">
      <c r="A45" s="11" t="s">
        <v>86</v>
      </c>
      <c r="B45" s="12">
        <v>3.0</v>
      </c>
      <c r="C45" s="2"/>
      <c r="D45" s="2" t="s">
        <v>116</v>
      </c>
    </row>
    <row r="46">
      <c r="A46" s="5" t="s">
        <v>93</v>
      </c>
      <c r="B46" s="5"/>
    </row>
    <row r="47">
      <c r="A47" s="11" t="s">
        <v>94</v>
      </c>
      <c r="B47" s="12">
        <v>5.0</v>
      </c>
    </row>
    <row r="48">
      <c r="A48" s="11" t="s">
        <v>95</v>
      </c>
      <c r="B48" s="12">
        <v>5.0</v>
      </c>
    </row>
    <row r="49">
      <c r="A49" s="11" t="s">
        <v>96</v>
      </c>
      <c r="B49" s="12">
        <v>15.0</v>
      </c>
    </row>
    <row r="50">
      <c r="A50" s="5" t="s">
        <v>117</v>
      </c>
      <c r="B50" s="5"/>
    </row>
    <row r="51">
      <c r="A51" s="6" t="s">
        <v>118</v>
      </c>
      <c r="B51" s="2" t="s">
        <v>99</v>
      </c>
      <c r="C51" s="17"/>
      <c r="D51" s="17">
        <v>-0.5</v>
      </c>
    </row>
    <row r="52">
      <c r="A52" s="6" t="s">
        <v>101</v>
      </c>
      <c r="B52" s="2" t="s">
        <v>119</v>
      </c>
      <c r="C52" s="17"/>
      <c r="D52" s="17">
        <v>-0.75</v>
      </c>
    </row>
    <row r="53">
      <c r="A53" s="6" t="s">
        <v>120</v>
      </c>
      <c r="B53" s="3" t="s">
        <v>121</v>
      </c>
      <c r="C53" s="2"/>
      <c r="D53" s="2" t="s">
        <v>122</v>
      </c>
    </row>
    <row r="54">
      <c r="A54" s="1" t="s">
        <v>123</v>
      </c>
    </row>
    <row r="55">
      <c r="A55" s="1" t="s">
        <v>124</v>
      </c>
      <c r="B55" s="2" t="s">
        <v>125</v>
      </c>
    </row>
    <row r="56">
      <c r="A56" s="1" t="s">
        <v>126</v>
      </c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  <row r="6">
      <c r="A6" s="2" t="s">
        <v>6</v>
      </c>
    </row>
    <row r="7">
      <c r="A7" s="2" t="s">
        <v>7</v>
      </c>
    </row>
    <row r="8">
      <c r="A8" s="2" t="s">
        <v>9</v>
      </c>
    </row>
    <row r="9">
      <c r="A9" s="2" t="s">
        <v>10</v>
      </c>
    </row>
    <row r="10">
      <c r="A10" s="2" t="s">
        <v>11</v>
      </c>
    </row>
  </sheetData>
  <drawing r:id="rId1"/>
</worksheet>
</file>